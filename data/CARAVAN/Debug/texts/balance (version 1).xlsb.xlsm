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source\Caravan\Caravan\bin\Debug\texts\"/>
    </mc:Choice>
  </mc:AlternateContent>
  <xr:revisionPtr revIDLastSave="0" documentId="13_ncr:1_{31E8441D-97A1-4E3A-81A7-9E31503AF231}" xr6:coauthVersionLast="47" xr6:coauthVersionMax="47" xr10:uidLastSave="{00000000-0000-0000-0000-000000000000}"/>
  <bookViews>
    <workbookView xWindow="-17805" yWindow="-135" windowWidth="15270" windowHeight="1006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01" i="1" l="1"/>
  <c r="H177" i="1"/>
  <c r="K177" i="1" s="1"/>
  <c r="D188" i="1"/>
  <c r="D186" i="1"/>
  <c r="H186" i="1"/>
  <c r="H190" i="1"/>
  <c r="H188" i="1"/>
  <c r="M232" i="1"/>
  <c r="K232" i="1"/>
  <c r="H231" i="1"/>
  <c r="K231" i="1" s="1"/>
  <c r="N231" i="1"/>
  <c r="H230" i="1"/>
  <c r="L230" i="1" s="1"/>
  <c r="D230" i="1"/>
  <c r="D229" i="1"/>
  <c r="D227" i="1"/>
  <c r="H227" i="1"/>
  <c r="K227" i="1" s="1"/>
  <c r="H226" i="1"/>
  <c r="D225" i="1"/>
  <c r="K233" i="1"/>
  <c r="G233" i="1"/>
  <c r="L233" i="1" s="1"/>
  <c r="G232" i="1"/>
  <c r="G231" i="1"/>
  <c r="G230" i="1"/>
  <c r="K229" i="1"/>
  <c r="H229" i="1"/>
  <c r="G229" i="1"/>
  <c r="L229" i="1" s="1"/>
  <c r="K228" i="1"/>
  <c r="G228" i="1"/>
  <c r="L228" i="1" s="1"/>
  <c r="G227" i="1"/>
  <c r="G226" i="1"/>
  <c r="K225" i="1"/>
  <c r="G225" i="1"/>
  <c r="L225" i="1" s="1"/>
  <c r="U216" i="1"/>
  <c r="Y216" i="1"/>
  <c r="AB216" i="1" s="1"/>
  <c r="S214" i="1"/>
  <c r="U212" i="1"/>
  <c r="Y212" i="1"/>
  <c r="AB220" i="1"/>
  <c r="X220" i="1"/>
  <c r="AC220" i="1" s="1"/>
  <c r="AB219" i="1"/>
  <c r="X219" i="1"/>
  <c r="AC219" i="1" s="1"/>
  <c r="AB218" i="1"/>
  <c r="X218" i="1"/>
  <c r="AC218" i="1" s="1"/>
  <c r="AB217" i="1"/>
  <c r="X217" i="1"/>
  <c r="AC217" i="1" s="1"/>
  <c r="X216" i="1"/>
  <c r="AB215" i="1"/>
  <c r="X215" i="1"/>
  <c r="AC215" i="1" s="1"/>
  <c r="AB214" i="1"/>
  <c r="X214" i="1"/>
  <c r="AC214" i="1" s="1"/>
  <c r="AB213" i="1"/>
  <c r="X213" i="1"/>
  <c r="AC213" i="1" s="1"/>
  <c r="AB212" i="1"/>
  <c r="X212" i="1"/>
  <c r="AC212" i="1" s="1"/>
  <c r="H219" i="1"/>
  <c r="K219" i="1" s="1"/>
  <c r="K217" i="1"/>
  <c r="H218" i="1"/>
  <c r="K218" i="1" s="1"/>
  <c r="H217" i="1"/>
  <c r="H213" i="1"/>
  <c r="K213" i="1" s="1"/>
  <c r="D213" i="1"/>
  <c r="D212" i="1"/>
  <c r="K220" i="1"/>
  <c r="G220" i="1"/>
  <c r="L220" i="1" s="1"/>
  <c r="G219" i="1"/>
  <c r="L219" i="1" s="1"/>
  <c r="G218" i="1"/>
  <c r="G217" i="1"/>
  <c r="K216" i="1"/>
  <c r="H216" i="1"/>
  <c r="G216" i="1"/>
  <c r="L216" i="1" s="1"/>
  <c r="K215" i="1"/>
  <c r="G215" i="1"/>
  <c r="L215" i="1" s="1"/>
  <c r="H214" i="1"/>
  <c r="K214" i="1" s="1"/>
  <c r="G214" i="1"/>
  <c r="L214" i="1" s="1"/>
  <c r="G213" i="1"/>
  <c r="K212" i="1"/>
  <c r="G212" i="1"/>
  <c r="L212" i="1" s="1"/>
  <c r="Y203" i="1"/>
  <c r="U205" i="1"/>
  <c r="Y204" i="1"/>
  <c r="AB204" i="1" s="1"/>
  <c r="U203" i="1"/>
  <c r="Y200" i="1"/>
  <c r="AB207" i="1"/>
  <c r="X207" i="1"/>
  <c r="AC207" i="1" s="1"/>
  <c r="AB206" i="1"/>
  <c r="X206" i="1"/>
  <c r="AC206" i="1" s="1"/>
  <c r="AB205" i="1"/>
  <c r="X205" i="1"/>
  <c r="AC205" i="1" s="1"/>
  <c r="X204" i="1"/>
  <c r="AB203" i="1"/>
  <c r="X203" i="1"/>
  <c r="AC203" i="1" s="1"/>
  <c r="AB202" i="1"/>
  <c r="X202" i="1"/>
  <c r="AC202" i="1" s="1"/>
  <c r="AB201" i="1"/>
  <c r="X201" i="1"/>
  <c r="AC201" i="1" s="1"/>
  <c r="AB200" i="1"/>
  <c r="X200" i="1"/>
  <c r="AB199" i="1"/>
  <c r="X199" i="1"/>
  <c r="AC199" i="1" s="1"/>
  <c r="H204" i="1"/>
  <c r="K204" i="1" s="1"/>
  <c r="H199" i="1"/>
  <c r="H206" i="1"/>
  <c r="G203" i="1"/>
  <c r="D200" i="1"/>
  <c r="H205" i="1"/>
  <c r="K205" i="1" s="1"/>
  <c r="D204" i="1"/>
  <c r="L203" i="1"/>
  <c r="M201" i="1"/>
  <c r="H200" i="1"/>
  <c r="K200" i="1"/>
  <c r="D199" i="1"/>
  <c r="K199" i="1"/>
  <c r="K207" i="1"/>
  <c r="G207" i="1"/>
  <c r="L207" i="1" s="1"/>
  <c r="K206" i="1"/>
  <c r="G206" i="1"/>
  <c r="G205" i="1"/>
  <c r="G204" i="1"/>
  <c r="K203" i="1"/>
  <c r="K202" i="1"/>
  <c r="G202" i="1"/>
  <c r="L202" i="1" s="1"/>
  <c r="K201" i="1"/>
  <c r="G201" i="1"/>
  <c r="L201" i="1" s="1"/>
  <c r="G200" i="1"/>
  <c r="G199" i="1"/>
  <c r="D190" i="1"/>
  <c r="K190" i="1"/>
  <c r="K188" i="1"/>
  <c r="V187" i="1"/>
  <c r="U187" i="1"/>
  <c r="H187" i="1"/>
  <c r="K187" i="1" s="1"/>
  <c r="Y194" i="1"/>
  <c r="U194" i="1"/>
  <c r="Z194" i="1" s="1"/>
  <c r="Y193" i="1"/>
  <c r="U193" i="1"/>
  <c r="Z193" i="1" s="1"/>
  <c r="Y192" i="1"/>
  <c r="U192" i="1"/>
  <c r="Z192" i="1" s="1"/>
  <c r="Y191" i="1"/>
  <c r="U191" i="1"/>
  <c r="Z191" i="1" s="1"/>
  <c r="V190" i="1"/>
  <c r="Y190" i="1" s="1"/>
  <c r="U190" i="1"/>
  <c r="Z190" i="1" s="1"/>
  <c r="R190" i="1"/>
  <c r="Y189" i="1"/>
  <c r="U189" i="1"/>
  <c r="Z189" i="1" s="1"/>
  <c r="Y188" i="1"/>
  <c r="U188" i="1"/>
  <c r="Z188" i="1" s="1"/>
  <c r="Y187" i="1"/>
  <c r="Y186" i="1"/>
  <c r="U186" i="1"/>
  <c r="Z186" i="1" s="1"/>
  <c r="L194" i="1"/>
  <c r="K194" i="1"/>
  <c r="G194" i="1"/>
  <c r="K193" i="1"/>
  <c r="G193" i="1"/>
  <c r="L193" i="1" s="1"/>
  <c r="K192" i="1"/>
  <c r="G192" i="1"/>
  <c r="L192" i="1" s="1"/>
  <c r="K191" i="1"/>
  <c r="G191" i="1"/>
  <c r="L191" i="1" s="1"/>
  <c r="G190" i="1"/>
  <c r="K189" i="1"/>
  <c r="G189" i="1"/>
  <c r="L189" i="1" s="1"/>
  <c r="G188" i="1"/>
  <c r="G187" i="1"/>
  <c r="L187" i="1" s="1"/>
  <c r="G186" i="1"/>
  <c r="AE179" i="1"/>
  <c r="Y180" i="1"/>
  <c r="Y179" i="1"/>
  <c r="V178" i="1"/>
  <c r="Y178" i="1"/>
  <c r="Y177" i="1"/>
  <c r="AB177" i="1" s="1"/>
  <c r="U177" i="1"/>
  <c r="Y176" i="1"/>
  <c r="U175" i="1"/>
  <c r="Y175" i="1"/>
  <c r="S175" i="1"/>
  <c r="U174" i="1"/>
  <c r="Y174" i="1"/>
  <c r="U173" i="1"/>
  <c r="AB181" i="1"/>
  <c r="X181" i="1"/>
  <c r="AC181" i="1" s="1"/>
  <c r="AB180" i="1"/>
  <c r="X180" i="1"/>
  <c r="AC180" i="1" s="1"/>
  <c r="AB179" i="1"/>
  <c r="X179" i="1"/>
  <c r="AB178" i="1"/>
  <c r="X178" i="1"/>
  <c r="X177" i="1"/>
  <c r="AC177" i="1" s="1"/>
  <c r="AB176" i="1"/>
  <c r="X176" i="1"/>
  <c r="AC176" i="1" s="1"/>
  <c r="AB175" i="1"/>
  <c r="X175" i="1"/>
  <c r="AC175" i="1" s="1"/>
  <c r="AB174" i="1"/>
  <c r="X174" i="1"/>
  <c r="AB173" i="1"/>
  <c r="X173" i="1"/>
  <c r="AC173" i="1" s="1"/>
  <c r="D177" i="1"/>
  <c r="D173" i="1"/>
  <c r="D180" i="1"/>
  <c r="H179" i="1"/>
  <c r="D179" i="1"/>
  <c r="H178" i="1"/>
  <c r="L178" i="1" s="1"/>
  <c r="H176" i="1"/>
  <c r="D175" i="1"/>
  <c r="H173" i="1"/>
  <c r="K181" i="1"/>
  <c r="G181" i="1"/>
  <c r="L181" i="1" s="1"/>
  <c r="K180" i="1"/>
  <c r="G180" i="1"/>
  <c r="L180" i="1" s="1"/>
  <c r="K179" i="1"/>
  <c r="G179" i="1"/>
  <c r="L179" i="1" s="1"/>
  <c r="G178" i="1"/>
  <c r="G177" i="1"/>
  <c r="G176" i="1"/>
  <c r="K175" i="1"/>
  <c r="G175" i="1"/>
  <c r="L175" i="1" s="1"/>
  <c r="K174" i="1"/>
  <c r="G174" i="1"/>
  <c r="L174" i="1" s="1"/>
  <c r="G173" i="1"/>
  <c r="Y165" i="1"/>
  <c r="Y164" i="1"/>
  <c r="Y162" i="1"/>
  <c r="Y161" i="1"/>
  <c r="Y160" i="1"/>
  <c r="AB160" i="1" s="1"/>
  <c r="AC164" i="1"/>
  <c r="Y163" i="1"/>
  <c r="AB163" i="1" s="1"/>
  <c r="AB161" i="1"/>
  <c r="U164" i="1"/>
  <c r="Y167" i="1"/>
  <c r="H127" i="1"/>
  <c r="U163" i="1"/>
  <c r="AE166" i="1"/>
  <c r="Y166" i="1"/>
  <c r="AB166" i="1" s="1"/>
  <c r="AB165" i="1"/>
  <c r="AB162" i="1"/>
  <c r="S162" i="1"/>
  <c r="U160" i="1"/>
  <c r="AB168" i="1"/>
  <c r="X168" i="1"/>
  <c r="AC168" i="1" s="1"/>
  <c r="AB167" i="1"/>
  <c r="X167" i="1"/>
  <c r="X166" i="1"/>
  <c r="X165" i="1"/>
  <c r="X164" i="1"/>
  <c r="X163" i="1"/>
  <c r="AC163" i="1" s="1"/>
  <c r="X162" i="1"/>
  <c r="AC162" i="1" s="1"/>
  <c r="X161" i="1"/>
  <c r="X160" i="1"/>
  <c r="AC160" i="1" s="1"/>
  <c r="H165" i="1"/>
  <c r="K165" i="1"/>
  <c r="H166" i="1"/>
  <c r="H101" i="1"/>
  <c r="K101" i="1" s="1"/>
  <c r="H164" i="1"/>
  <c r="H163" i="1"/>
  <c r="H162" i="1"/>
  <c r="K162" i="1" s="1"/>
  <c r="K168" i="1"/>
  <c r="G168" i="1"/>
  <c r="L168" i="1" s="1"/>
  <c r="K167" i="1"/>
  <c r="G167" i="1"/>
  <c r="L167" i="1" s="1"/>
  <c r="K166" i="1"/>
  <c r="G166" i="1"/>
  <c r="L166" i="1" s="1"/>
  <c r="G165" i="1"/>
  <c r="K164" i="1"/>
  <c r="G164" i="1"/>
  <c r="L164" i="1" s="1"/>
  <c r="K163" i="1"/>
  <c r="G163" i="1"/>
  <c r="L163" i="1" s="1"/>
  <c r="G162" i="1"/>
  <c r="L162" i="1" s="1"/>
  <c r="K161" i="1"/>
  <c r="G161" i="1"/>
  <c r="L161" i="1" s="1"/>
  <c r="K160" i="1"/>
  <c r="G160" i="1"/>
  <c r="L160" i="1" s="1"/>
  <c r="W150" i="1"/>
  <c r="AB152" i="1"/>
  <c r="X152" i="1"/>
  <c r="AC152" i="1" s="1"/>
  <c r="X151" i="1"/>
  <c r="AC151" i="1" s="1"/>
  <c r="Y147" i="1"/>
  <c r="AC147" i="1"/>
  <c r="U147" i="1"/>
  <c r="Y146" i="1"/>
  <c r="U146" i="1"/>
  <c r="AB154" i="1"/>
  <c r="X154" i="1"/>
  <c r="AC154" i="1" s="1"/>
  <c r="AB153" i="1"/>
  <c r="X153" i="1"/>
  <c r="AC153" i="1" s="1"/>
  <c r="AB151" i="1"/>
  <c r="AB149" i="1"/>
  <c r="X149" i="1"/>
  <c r="AC149" i="1" s="1"/>
  <c r="AB148" i="1"/>
  <c r="X148" i="1"/>
  <c r="AC148" i="1" s="1"/>
  <c r="X147" i="1"/>
  <c r="AB146" i="1"/>
  <c r="X146" i="1"/>
  <c r="AC146" i="1" s="1"/>
  <c r="D155" i="1"/>
  <c r="H155" i="1"/>
  <c r="K155" i="1" s="1"/>
  <c r="H153" i="1"/>
  <c r="K153" i="1" s="1"/>
  <c r="K156" i="1"/>
  <c r="G156" i="1"/>
  <c r="L156" i="1" s="1"/>
  <c r="G155" i="1"/>
  <c r="L155" i="1" s="1"/>
  <c r="D152" i="1"/>
  <c r="H152" i="1"/>
  <c r="K152" i="1" s="1"/>
  <c r="N152" i="1"/>
  <c r="O151" i="1"/>
  <c r="M151" i="1"/>
  <c r="H150" i="1"/>
  <c r="K150" i="1" s="1"/>
  <c r="H148" i="1"/>
  <c r="K148" i="1" s="1"/>
  <c r="D148" i="1"/>
  <c r="G147" i="1"/>
  <c r="L147" i="1"/>
  <c r="H146" i="1"/>
  <c r="K146" i="1"/>
  <c r="K154" i="1"/>
  <c r="G154" i="1"/>
  <c r="L154" i="1" s="1"/>
  <c r="G153" i="1"/>
  <c r="G152" i="1"/>
  <c r="K151" i="1"/>
  <c r="G151" i="1"/>
  <c r="G150" i="1"/>
  <c r="K149" i="1"/>
  <c r="G149" i="1"/>
  <c r="L149" i="1" s="1"/>
  <c r="G148" i="1"/>
  <c r="K147" i="1"/>
  <c r="G146" i="1"/>
  <c r="AQ20" i="1"/>
  <c r="AM20" i="1"/>
  <c r="AW29" i="1"/>
  <c r="AV29" i="1"/>
  <c r="AU29" i="1"/>
  <c r="AT29" i="1" a="1"/>
  <c r="AT29" i="1"/>
  <c r="AS29" i="1" a="1"/>
  <c r="AS29" i="1"/>
  <c r="AX29" i="1" s="1"/>
  <c r="AW28" i="1"/>
  <c r="AV28" i="1"/>
  <c r="AU28" i="1"/>
  <c r="AT28" i="1" a="1"/>
  <c r="AT28" i="1"/>
  <c r="AS28" i="1" a="1"/>
  <c r="AS28" i="1"/>
  <c r="AX28" i="1" s="1"/>
  <c r="AW27" i="1"/>
  <c r="AV27" i="1"/>
  <c r="AU27" i="1"/>
  <c r="AT27" i="1" a="1"/>
  <c r="AT27" i="1"/>
  <c r="AS27" i="1" a="1"/>
  <c r="AS27" i="1"/>
  <c r="AX27" i="1" s="1"/>
  <c r="AW26" i="1"/>
  <c r="AV26" i="1"/>
  <c r="AU26" i="1"/>
  <c r="AT26" i="1" a="1"/>
  <c r="AT26" i="1"/>
  <c r="AS26" i="1" a="1"/>
  <c r="AS26" i="1"/>
  <c r="AX26" i="1" s="1"/>
  <c r="AW25" i="1"/>
  <c r="AV25" i="1"/>
  <c r="AU25" i="1"/>
  <c r="AT25" i="1" a="1"/>
  <c r="AT25" i="1"/>
  <c r="AS25" i="1" a="1"/>
  <c r="AS25" i="1"/>
  <c r="AX25" i="1" s="1"/>
  <c r="AW24" i="1"/>
  <c r="AV24" i="1"/>
  <c r="AU24" i="1"/>
  <c r="AT24" i="1" a="1"/>
  <c r="AT24" i="1"/>
  <c r="AS24" i="1" a="1"/>
  <c r="AS24" i="1"/>
  <c r="AX24" i="1" s="1"/>
  <c r="AW23" i="1"/>
  <c r="AV23" i="1"/>
  <c r="AU23" i="1"/>
  <c r="AT23" i="1" a="1"/>
  <c r="AT23" i="1"/>
  <c r="AS23" i="1" a="1"/>
  <c r="AS23" i="1"/>
  <c r="AX23" i="1" s="1"/>
  <c r="AW22" i="1"/>
  <c r="AV22" i="1"/>
  <c r="AU22" i="1"/>
  <c r="AT22" i="1" a="1"/>
  <c r="AT22" i="1"/>
  <c r="AS22" i="1" a="1"/>
  <c r="AS22" i="1"/>
  <c r="AX22" i="1" s="1"/>
  <c r="AW21" i="1"/>
  <c r="AV21" i="1"/>
  <c r="AU21" i="1"/>
  <c r="AT21" i="1" a="1"/>
  <c r="AT21" i="1"/>
  <c r="AS21" i="1" a="1"/>
  <c r="AS21" i="1"/>
  <c r="AX21" i="1" s="1"/>
  <c r="AW20" i="1"/>
  <c r="AV20" i="1"/>
  <c r="AU20" i="1"/>
  <c r="AT20" i="1" a="1"/>
  <c r="AT20" i="1"/>
  <c r="AS20" i="1" a="1"/>
  <c r="AS20" i="1"/>
  <c r="AX20" i="1" s="1"/>
  <c r="AW19" i="1"/>
  <c r="AV19" i="1"/>
  <c r="AU19" i="1"/>
  <c r="AT19" i="1" a="1"/>
  <c r="AT19" i="1"/>
  <c r="AS19" i="1" a="1"/>
  <c r="AS19" i="1"/>
  <c r="AX19" i="1" s="1"/>
  <c r="AW18" i="1"/>
  <c r="AV18" i="1"/>
  <c r="AU18" i="1"/>
  <c r="AT18" i="1" a="1"/>
  <c r="AT18" i="1"/>
  <c r="AS18" i="1" a="1"/>
  <c r="AS18" i="1"/>
  <c r="AX18" i="1" s="1"/>
  <c r="AW17" i="1"/>
  <c r="AV17" i="1"/>
  <c r="AU17" i="1"/>
  <c r="AT17" i="1" a="1"/>
  <c r="AT17" i="1"/>
  <c r="AS17" i="1" a="1"/>
  <c r="AS17" i="1"/>
  <c r="AX17" i="1" s="1"/>
  <c r="AW16" i="1"/>
  <c r="AV16" i="1"/>
  <c r="AU16" i="1"/>
  <c r="AT16" i="1" a="1"/>
  <c r="AT16" i="1"/>
  <c r="AS16" i="1" a="1"/>
  <c r="AS16" i="1"/>
  <c r="AX16" i="1" s="1"/>
  <c r="AW15" i="1"/>
  <c r="AV15" i="1"/>
  <c r="AU15" i="1"/>
  <c r="AT15" i="1" a="1"/>
  <c r="AT15" i="1"/>
  <c r="AS15" i="1" a="1"/>
  <c r="AS15" i="1"/>
  <c r="AX15" i="1" s="1"/>
  <c r="AW14" i="1"/>
  <c r="AV14" i="1"/>
  <c r="AU14" i="1"/>
  <c r="AT14" i="1" a="1"/>
  <c r="AT14" i="1"/>
  <c r="AS14" i="1" a="1"/>
  <c r="AS14" i="1"/>
  <c r="AX14" i="1" s="1"/>
  <c r="AW13" i="1"/>
  <c r="AV13" i="1"/>
  <c r="AU13" i="1"/>
  <c r="AT13" i="1" a="1"/>
  <c r="AT13" i="1"/>
  <c r="AS13" i="1" a="1"/>
  <c r="AS13" i="1"/>
  <c r="AX13" i="1" s="1"/>
  <c r="AW12" i="1"/>
  <c r="AV12" i="1"/>
  <c r="AU12" i="1"/>
  <c r="AT12" i="1" a="1"/>
  <c r="AT12" i="1"/>
  <c r="AS12" i="1" a="1"/>
  <c r="AS12" i="1"/>
  <c r="AX12" i="1" s="1"/>
  <c r="AW11" i="1"/>
  <c r="AV11" i="1"/>
  <c r="AU11" i="1"/>
  <c r="AT11" i="1" a="1"/>
  <c r="AT11" i="1"/>
  <c r="AS11" i="1" a="1"/>
  <c r="AS11" i="1"/>
  <c r="AX11" i="1" s="1"/>
  <c r="AW10" i="1"/>
  <c r="AV10" i="1"/>
  <c r="AU10" i="1"/>
  <c r="AT10" i="1" a="1"/>
  <c r="AT10" i="1"/>
  <c r="AS10" i="1" a="1"/>
  <c r="AS10" i="1"/>
  <c r="AX10" i="1" s="1"/>
  <c r="AW9" i="1"/>
  <c r="AV9" i="1"/>
  <c r="AU9" i="1"/>
  <c r="AT9" i="1" a="1"/>
  <c r="AT9" i="1"/>
  <c r="AS9" i="1" a="1"/>
  <c r="AS9" i="1"/>
  <c r="AX9" i="1" s="1"/>
  <c r="AW8" i="1"/>
  <c r="AV8" i="1"/>
  <c r="AU8" i="1"/>
  <c r="AT8" i="1" a="1"/>
  <c r="AT8" i="1"/>
  <c r="AS8" i="1" a="1"/>
  <c r="AS8" i="1"/>
  <c r="AX8" i="1" s="1"/>
  <c r="AW7" i="1"/>
  <c r="AV7" i="1"/>
  <c r="AU7" i="1"/>
  <c r="AT7" i="1" a="1"/>
  <c r="AT7" i="1"/>
  <c r="AS7" i="1" a="1"/>
  <c r="AS7" i="1"/>
  <c r="AX7" i="1" s="1"/>
  <c r="AW6" i="1"/>
  <c r="AV6" i="1"/>
  <c r="AU6" i="1"/>
  <c r="AT6" i="1" a="1"/>
  <c r="AT6" i="1"/>
  <c r="AS6" i="1" a="1"/>
  <c r="AS6" i="1"/>
  <c r="AX6" i="1" s="1"/>
  <c r="AW5" i="1"/>
  <c r="AV5" i="1"/>
  <c r="AU5" i="1"/>
  <c r="AT5" i="1" a="1"/>
  <c r="AT5" i="1"/>
  <c r="AS5" i="1" a="1"/>
  <c r="AS5" i="1"/>
  <c r="AX5" i="1" s="1"/>
  <c r="AW4" i="1"/>
  <c r="AV4" i="1"/>
  <c r="AU4" i="1"/>
  <c r="AT4" i="1" a="1"/>
  <c r="AT4" i="1"/>
  <c r="AS4" i="1" a="1"/>
  <c r="AS4" i="1"/>
  <c r="AX4" i="1" s="1"/>
  <c r="AW3" i="1"/>
  <c r="AV3" i="1"/>
  <c r="AU3" i="1"/>
  <c r="AT3" i="1" a="1"/>
  <c r="AT3" i="1"/>
  <c r="AS3" i="1" a="1"/>
  <c r="AS3" i="1"/>
  <c r="AX3" i="1" s="1"/>
  <c r="AP20" i="1"/>
  <c r="AQ3" i="1"/>
  <c r="AP3" i="1"/>
  <c r="AP2" i="1"/>
  <c r="AV2" i="1" s="1"/>
  <c r="B75" i="1"/>
  <c r="G75" i="1" s="1"/>
  <c r="L75" i="1" s="1"/>
  <c r="H73" i="1"/>
  <c r="D73" i="1"/>
  <c r="H72" i="1"/>
  <c r="D69" i="1"/>
  <c r="H68" i="1"/>
  <c r="K77" i="1"/>
  <c r="H77" i="1"/>
  <c r="G77" i="1"/>
  <c r="L77" i="1" s="1"/>
  <c r="K75" i="1"/>
  <c r="H74" i="1"/>
  <c r="K74" i="1" s="1"/>
  <c r="G74" i="1"/>
  <c r="K73" i="1"/>
  <c r="G73" i="1"/>
  <c r="K72" i="1"/>
  <c r="G72" i="1"/>
  <c r="K71" i="1"/>
  <c r="G71" i="1"/>
  <c r="L71" i="1" s="1"/>
  <c r="K70" i="1"/>
  <c r="G70" i="1"/>
  <c r="L70" i="1" s="1"/>
  <c r="B70" i="1"/>
  <c r="K69" i="1"/>
  <c r="G69" i="1"/>
  <c r="L69" i="1" s="1"/>
  <c r="L68" i="1"/>
  <c r="K68" i="1"/>
  <c r="G68" i="1"/>
  <c r="L67" i="1"/>
  <c r="K67" i="1"/>
  <c r="G67" i="1"/>
  <c r="AQ12" i="1"/>
  <c r="AM12" i="1"/>
  <c r="AM13" i="1"/>
  <c r="AP13" i="1"/>
  <c r="AQ4" i="1"/>
  <c r="AP18" i="1"/>
  <c r="AP4" i="1"/>
  <c r="AL4" i="1"/>
  <c r="AM4" i="1"/>
  <c r="AQ29" i="1"/>
  <c r="AP29" i="1"/>
  <c r="AQ28" i="1"/>
  <c r="AP28" i="1"/>
  <c r="AQ27" i="1"/>
  <c r="AP27" i="1"/>
  <c r="AQ26" i="1"/>
  <c r="AP26" i="1"/>
  <c r="AQ25" i="1"/>
  <c r="AP25" i="1"/>
  <c r="AP24" i="1"/>
  <c r="AP23" i="1"/>
  <c r="AP22" i="1"/>
  <c r="AQ21" i="1"/>
  <c r="AP21" i="1"/>
  <c r="AQ19" i="1"/>
  <c r="AP19" i="1"/>
  <c r="AP17" i="1"/>
  <c r="AP16" i="1"/>
  <c r="AP15" i="1"/>
  <c r="AP14" i="1"/>
  <c r="AP12" i="1"/>
  <c r="AQ11" i="1"/>
  <c r="AP11" i="1"/>
  <c r="AQ10" i="1"/>
  <c r="AP10" i="1"/>
  <c r="AQ9" i="1"/>
  <c r="AP9" i="1"/>
  <c r="AQ8" i="1"/>
  <c r="AP8" i="1"/>
  <c r="AQ7" i="1"/>
  <c r="AP7" i="1"/>
  <c r="AP6" i="1"/>
  <c r="AP5" i="1"/>
  <c r="AU2" i="1"/>
  <c r="Y135" i="1"/>
  <c r="X135" i="1"/>
  <c r="AC135" i="1" s="1"/>
  <c r="Y140" i="1"/>
  <c r="Y138" i="1"/>
  <c r="Y137" i="1"/>
  <c r="AB137" i="1"/>
  <c r="U133" i="1"/>
  <c r="AB138" i="1"/>
  <c r="U138" i="1"/>
  <c r="Y134" i="1"/>
  <c r="AC141" i="1"/>
  <c r="AB141" i="1"/>
  <c r="X141" i="1"/>
  <c r="AB140" i="1"/>
  <c r="X140" i="1"/>
  <c r="AB139" i="1"/>
  <c r="X139" i="1"/>
  <c r="AC139" i="1" s="1"/>
  <c r="AC138" i="1"/>
  <c r="X138" i="1"/>
  <c r="X137" i="1"/>
  <c r="AB136" i="1"/>
  <c r="X136" i="1"/>
  <c r="AC136" i="1" s="1"/>
  <c r="AB135" i="1"/>
  <c r="AB134" i="1"/>
  <c r="X134" i="1"/>
  <c r="AC133" i="1"/>
  <c r="AB133" i="1"/>
  <c r="X133" i="1"/>
  <c r="H28" i="1"/>
  <c r="D140" i="1"/>
  <c r="H140" i="1"/>
  <c r="K140" i="1" s="1"/>
  <c r="H139" i="1"/>
  <c r="L139" i="1" s="1"/>
  <c r="H138" i="1"/>
  <c r="H137" i="1"/>
  <c r="D137" i="1"/>
  <c r="I136" i="1" a="1"/>
  <c r="I136" i="1"/>
  <c r="G133" i="1"/>
  <c r="L133" i="1" s="1"/>
  <c r="D133" i="1"/>
  <c r="K141" i="1"/>
  <c r="G141" i="1"/>
  <c r="L141" i="1" s="1"/>
  <c r="G140" i="1"/>
  <c r="G139" i="1"/>
  <c r="L138" i="1"/>
  <c r="K138" i="1"/>
  <c r="G138" i="1"/>
  <c r="K137" i="1"/>
  <c r="G137" i="1"/>
  <c r="L137" i="1" s="1"/>
  <c r="K136" i="1"/>
  <c r="G136" i="1"/>
  <c r="L136" i="1" s="1"/>
  <c r="K135" i="1"/>
  <c r="G135" i="1"/>
  <c r="L135" i="1" s="1"/>
  <c r="L134" i="1"/>
  <c r="K134" i="1"/>
  <c r="G134" i="1"/>
  <c r="K133" i="1"/>
  <c r="Y124" i="1"/>
  <c r="U122" i="1"/>
  <c r="AC125" i="1"/>
  <c r="AC126" i="1"/>
  <c r="AC127" i="1"/>
  <c r="AE123" i="1"/>
  <c r="U124" i="1"/>
  <c r="U120" i="1"/>
  <c r="AB128" i="1"/>
  <c r="X128" i="1"/>
  <c r="AC128" i="1" s="1"/>
  <c r="AB127" i="1"/>
  <c r="X127" i="1"/>
  <c r="AB126" i="1"/>
  <c r="X126" i="1"/>
  <c r="AB125" i="1"/>
  <c r="X125" i="1"/>
  <c r="AB124" i="1"/>
  <c r="X124" i="1"/>
  <c r="AB123" i="1"/>
  <c r="X123" i="1"/>
  <c r="AC123" i="1" s="1"/>
  <c r="AB122" i="1"/>
  <c r="X122" i="1"/>
  <c r="AC122" i="1" s="1"/>
  <c r="AB121" i="1"/>
  <c r="X121" i="1"/>
  <c r="AC121" i="1" s="1"/>
  <c r="AB120" i="1"/>
  <c r="X120" i="1"/>
  <c r="AC120" i="1" s="1"/>
  <c r="Y60" i="1"/>
  <c r="AB60" i="1"/>
  <c r="Y64" i="1"/>
  <c r="Y61" i="1"/>
  <c r="Y59" i="1"/>
  <c r="Y57" i="1"/>
  <c r="Y55" i="1"/>
  <c r="AB55" i="1" s="1"/>
  <c r="AB64" i="1"/>
  <c r="X64" i="1"/>
  <c r="AC64" i="1" s="1"/>
  <c r="AB61" i="1"/>
  <c r="X60" i="1"/>
  <c r="AB59" i="1"/>
  <c r="Y58" i="1"/>
  <c r="AB57" i="1"/>
  <c r="S57" i="1"/>
  <c r="U56" i="1"/>
  <c r="S56" i="1"/>
  <c r="X56" i="1" s="1"/>
  <c r="AC56" i="1" s="1"/>
  <c r="Y54" i="1"/>
  <c r="AB54" i="1" s="1"/>
  <c r="Y49" i="1"/>
  <c r="Y47" i="1"/>
  <c r="Y42" i="1"/>
  <c r="Y41" i="1"/>
  <c r="H36" i="1"/>
  <c r="H35" i="1"/>
  <c r="H32" i="1"/>
  <c r="H31" i="1"/>
  <c r="H29" i="1"/>
  <c r="H10" i="1"/>
  <c r="H9" i="1"/>
  <c r="H8" i="1"/>
  <c r="H7" i="1"/>
  <c r="H6" i="1"/>
  <c r="H61" i="1"/>
  <c r="H60" i="1"/>
  <c r="H59" i="1"/>
  <c r="H57" i="1"/>
  <c r="AC55" i="1"/>
  <c r="AC54" i="1"/>
  <c r="X55" i="1"/>
  <c r="AB62" i="1"/>
  <c r="X62" i="1"/>
  <c r="AC62" i="1" s="1"/>
  <c r="X61" i="1"/>
  <c r="X59" i="1"/>
  <c r="AB58" i="1"/>
  <c r="X58" i="1"/>
  <c r="AC58" i="1" s="1"/>
  <c r="X57" i="1"/>
  <c r="AC57" i="1" s="1"/>
  <c r="AB56" i="1"/>
  <c r="X54" i="1"/>
  <c r="K62" i="1"/>
  <c r="G62" i="1"/>
  <c r="L62" i="1" s="1"/>
  <c r="K61" i="1"/>
  <c r="G61" i="1"/>
  <c r="K60" i="1"/>
  <c r="G60" i="1"/>
  <c r="L60" i="1" s="1"/>
  <c r="K59" i="1"/>
  <c r="G59" i="1"/>
  <c r="L59" i="1" s="1"/>
  <c r="K58" i="1"/>
  <c r="G58" i="1"/>
  <c r="L58" i="1" s="1"/>
  <c r="K57" i="1"/>
  <c r="G57" i="1"/>
  <c r="L57" i="1" s="1"/>
  <c r="K56" i="1"/>
  <c r="G56" i="1"/>
  <c r="L56" i="1" s="1"/>
  <c r="K55" i="1"/>
  <c r="G55" i="1"/>
  <c r="L55" i="1" s="1"/>
  <c r="K54" i="1"/>
  <c r="G54" i="1"/>
  <c r="L54" i="1" s="1"/>
  <c r="N126" i="1"/>
  <c r="D124" i="1"/>
  <c r="D120" i="1"/>
  <c r="H124" i="1"/>
  <c r="K124" i="1" s="1"/>
  <c r="G3" i="1"/>
  <c r="K128" i="1"/>
  <c r="G128" i="1"/>
  <c r="L128" i="1" s="1"/>
  <c r="K127" i="1"/>
  <c r="G127" i="1"/>
  <c r="L127" i="1" s="1"/>
  <c r="K126" i="1"/>
  <c r="G126" i="1"/>
  <c r="L126" i="1" s="1"/>
  <c r="K125" i="1"/>
  <c r="G125" i="1"/>
  <c r="L125" i="1" s="1"/>
  <c r="G124" i="1"/>
  <c r="K123" i="1"/>
  <c r="G123" i="1"/>
  <c r="L123" i="1" s="1"/>
  <c r="K122" i="1"/>
  <c r="G122" i="1"/>
  <c r="L122" i="1" s="1"/>
  <c r="K121" i="1"/>
  <c r="G121" i="1"/>
  <c r="L121" i="1" s="1"/>
  <c r="K120" i="1"/>
  <c r="G120" i="1"/>
  <c r="L120" i="1" s="1"/>
  <c r="Y113" i="1"/>
  <c r="AB113" i="1" s="1"/>
  <c r="U114" i="1"/>
  <c r="Y114" i="1"/>
  <c r="Y111" i="1"/>
  <c r="U111" i="1"/>
  <c r="X109" i="1"/>
  <c r="AC109" i="1" s="1"/>
  <c r="AB115" i="1"/>
  <c r="X115" i="1"/>
  <c r="AC115" i="1" s="1"/>
  <c r="AB114" i="1"/>
  <c r="X114" i="1"/>
  <c r="AC114" i="1" s="1"/>
  <c r="X113" i="1"/>
  <c r="AC113" i="1" s="1"/>
  <c r="AB112" i="1"/>
  <c r="X112" i="1"/>
  <c r="AC112" i="1" s="1"/>
  <c r="AB111" i="1"/>
  <c r="X111" i="1"/>
  <c r="AC111" i="1" s="1"/>
  <c r="AB110" i="1"/>
  <c r="X110" i="1"/>
  <c r="AC110" i="1" s="1"/>
  <c r="AB109" i="1"/>
  <c r="AB108" i="1"/>
  <c r="X108" i="1"/>
  <c r="AC108" i="1" s="1"/>
  <c r="AB107" i="1"/>
  <c r="X107" i="1"/>
  <c r="AC107" i="1" s="1"/>
  <c r="D107" i="1"/>
  <c r="D94" i="1"/>
  <c r="AB102" i="1"/>
  <c r="X102" i="1"/>
  <c r="AC102" i="1" s="1"/>
  <c r="AB101" i="1"/>
  <c r="X101" i="1"/>
  <c r="AC101" i="1" s="1"/>
  <c r="AB100" i="1"/>
  <c r="X100" i="1"/>
  <c r="AC100" i="1" s="1"/>
  <c r="AB99" i="1"/>
  <c r="X99" i="1"/>
  <c r="AC99" i="1" s="1"/>
  <c r="AB98" i="1"/>
  <c r="X98" i="1"/>
  <c r="AC98" i="1" s="1"/>
  <c r="AB97" i="1"/>
  <c r="X97" i="1"/>
  <c r="AC97" i="1" s="1"/>
  <c r="AB96" i="1"/>
  <c r="X96" i="1"/>
  <c r="AC96" i="1" s="1"/>
  <c r="AB95" i="1"/>
  <c r="X95" i="1"/>
  <c r="AC95" i="1" s="1"/>
  <c r="AB94" i="1"/>
  <c r="X94" i="1"/>
  <c r="AC94" i="1" s="1"/>
  <c r="K102" i="1"/>
  <c r="G115" i="1"/>
  <c r="L115" i="1" s="1"/>
  <c r="G102" i="1"/>
  <c r="L102" i="1" s="1"/>
  <c r="H107" i="1"/>
  <c r="K107" i="1" s="1"/>
  <c r="F98" i="1"/>
  <c r="K98" i="1" s="1"/>
  <c r="K115" i="1"/>
  <c r="K114" i="1"/>
  <c r="G114" i="1"/>
  <c r="L114" i="1" s="1"/>
  <c r="K113" i="1"/>
  <c r="G113" i="1"/>
  <c r="L113" i="1" s="1"/>
  <c r="K112" i="1"/>
  <c r="G112" i="1"/>
  <c r="L112" i="1" s="1"/>
  <c r="K111" i="1"/>
  <c r="G111" i="1"/>
  <c r="L111" i="1" s="1"/>
  <c r="K110" i="1"/>
  <c r="G110" i="1"/>
  <c r="L110" i="1" s="1"/>
  <c r="K109" i="1"/>
  <c r="G109" i="1"/>
  <c r="L109" i="1" s="1"/>
  <c r="K108" i="1"/>
  <c r="G108" i="1"/>
  <c r="L108" i="1" s="1"/>
  <c r="G107" i="1"/>
  <c r="G101" i="1"/>
  <c r="K100" i="1"/>
  <c r="G100" i="1"/>
  <c r="L100" i="1" s="1"/>
  <c r="K99" i="1"/>
  <c r="G99" i="1"/>
  <c r="L99" i="1" s="1"/>
  <c r="K97" i="1"/>
  <c r="G97" i="1"/>
  <c r="L97" i="1" s="1"/>
  <c r="K96" i="1"/>
  <c r="G96" i="1"/>
  <c r="L96" i="1" s="1"/>
  <c r="K95" i="1"/>
  <c r="G95" i="1"/>
  <c r="L95" i="1" s="1"/>
  <c r="K94" i="1"/>
  <c r="G94" i="1"/>
  <c r="L94" i="1" s="1"/>
  <c r="AB48" i="1"/>
  <c r="X51" i="1"/>
  <c r="X2" i="1"/>
  <c r="X3" i="1"/>
  <c r="X4" i="1"/>
  <c r="K49" i="1"/>
  <c r="G49" i="1"/>
  <c r="L49" i="1" s="1"/>
  <c r="G48" i="1"/>
  <c r="L48" i="1" s="1"/>
  <c r="K47" i="1"/>
  <c r="K46" i="1"/>
  <c r="D47" i="1"/>
  <c r="D46" i="1"/>
  <c r="G46" i="1"/>
  <c r="L44" i="1"/>
  <c r="N44" i="1" s="1"/>
  <c r="K42" i="1"/>
  <c r="K44" i="1"/>
  <c r="M44" i="1" s="1"/>
  <c r="S35" i="1"/>
  <c r="AC34" i="1"/>
  <c r="Y33" i="1"/>
  <c r="U33" i="1"/>
  <c r="Z49" i="1" a="1"/>
  <c r="J109" i="1" a="1"/>
  <c r="I100" i="1" a="1"/>
  <c r="J100" i="1" a="1"/>
  <c r="I49" i="1" a="1"/>
  <c r="AA97" i="1" a="1"/>
  <c r="I95" i="1" a="1"/>
  <c r="AA98" i="1" a="1"/>
  <c r="Z107" i="1" a="1"/>
  <c r="AA114" i="1" a="1"/>
  <c r="AA110" i="1" a="1"/>
  <c r="I112" i="1" a="1"/>
  <c r="Z112" i="1" a="1"/>
  <c r="J101" i="1" a="1"/>
  <c r="AA112" i="1" a="1"/>
  <c r="AB49" i="1" a="1"/>
  <c r="I109" i="1" a="1"/>
  <c r="J48" i="1" a="1"/>
  <c r="J96" i="1" a="1"/>
  <c r="I111" i="1" a="1"/>
  <c r="Z98" i="1" a="1"/>
  <c r="AA101" i="1" a="1"/>
  <c r="Z115" i="1" a="1"/>
  <c r="Z114" i="1" a="1"/>
  <c r="Z110" i="1" a="1"/>
  <c r="J112" i="1" a="1"/>
  <c r="J121" i="1" a="1"/>
  <c r="AA99" i="1" a="1"/>
  <c r="AA115" i="1" a="1"/>
  <c r="AA94" i="1" a="1"/>
  <c r="AA109" i="1" a="1"/>
  <c r="AA102" i="1" a="1"/>
  <c r="J49" i="1" a="1"/>
  <c r="J110" i="1" a="1"/>
  <c r="Z51" i="1" a="1"/>
  <c r="I97" i="1" a="1"/>
  <c r="I99" i="1" a="1"/>
  <c r="Z97" i="1" a="1"/>
  <c r="J107" i="1" a="1"/>
  <c r="Z113" i="1" a="1"/>
  <c r="J128" i="1" a="1"/>
  <c r="J120" i="1" a="1"/>
  <c r="I94" i="1" a="1"/>
  <c r="Z102" i="1" a="1"/>
  <c r="Z100" i="1" a="1"/>
  <c r="J113" i="1" a="1"/>
  <c r="AA51" i="1" a="1"/>
  <c r="Z31" i="1" a="1"/>
  <c r="AC49" i="1" a="1"/>
  <c r="J108" i="1" a="1"/>
  <c r="I98" i="1" a="1"/>
  <c r="Z95" i="1" a="1"/>
  <c r="I107" i="1" a="1"/>
  <c r="AA113" i="1" a="1"/>
  <c r="I128" i="1" a="1"/>
  <c r="I120" i="1" a="1"/>
  <c r="J99" i="1" a="1"/>
  <c r="J111" i="1" a="1"/>
  <c r="J94" i="1" a="1"/>
  <c r="Z94" i="1" a="1"/>
  <c r="J95" i="1" a="1"/>
  <c r="I113" i="1" a="1"/>
  <c r="Z99" i="1" a="1"/>
  <c r="AA95" i="1" a="1"/>
  <c r="K48" i="1" a="1"/>
  <c r="Z4" i="1" a="1"/>
  <c r="I101" i="1" a="1"/>
  <c r="AA107" i="1" a="1"/>
  <c r="AA108" i="1" a="1"/>
  <c r="Z111" i="1" a="1"/>
  <c r="I126" i="1" a="1"/>
  <c r="J123" i="1" a="1"/>
  <c r="Z101" i="1" a="1"/>
  <c r="J97" i="1" a="1"/>
  <c r="J124" i="1" a="1"/>
  <c r="K45" i="1" a="1"/>
  <c r="I48" i="1" a="1"/>
  <c r="I110" i="1" a="1"/>
  <c r="Z96" i="1" a="1"/>
  <c r="AA96" i="1" a="1"/>
  <c r="AA100" i="1" a="1"/>
  <c r="Z109" i="1" a="1"/>
  <c r="Z108" i="1" a="1"/>
  <c r="AA111" i="1" a="1"/>
  <c r="I123" i="1" a="1"/>
  <c r="I121" i="1" a="1"/>
  <c r="I96" i="1" a="1"/>
  <c r="I124" i="1" a="1"/>
  <c r="I108" i="1" a="1"/>
  <c r="J126" i="1" a="1"/>
  <c r="I58" i="1" a="1"/>
  <c r="J58" i="1" a="1"/>
  <c r="I57" i="1" a="1"/>
  <c r="J57" i="1" a="1"/>
  <c r="I56" i="1" a="1"/>
  <c r="J56" i="1" a="1"/>
  <c r="J55" i="1" a="1"/>
  <c r="I55" i="1" a="1"/>
  <c r="J54" i="1" a="1"/>
  <c r="I54" i="1" a="1"/>
  <c r="J59" i="1" a="1"/>
  <c r="I59" i="1" a="1"/>
  <c r="J61" i="1" a="1"/>
  <c r="I61" i="1" a="1"/>
  <c r="J62" i="1" a="1"/>
  <c r="I62" i="1" a="1"/>
  <c r="J60" i="1" a="1"/>
  <c r="I60" i="1" a="1"/>
  <c r="AA64" i="1" a="1"/>
  <c r="Z64" i="1" a="1"/>
  <c r="AA62" i="1" a="1"/>
  <c r="Z62" i="1" a="1"/>
  <c r="Z61" i="1" a="1"/>
  <c r="AA61" i="1" a="1"/>
  <c r="Z60" i="1" a="1"/>
  <c r="AA60" i="1" a="1"/>
  <c r="AA59" i="1" a="1"/>
  <c r="Z59" i="1" a="1"/>
  <c r="Z58" i="1" a="1"/>
  <c r="AA58" i="1" a="1"/>
  <c r="Z57" i="1" a="1"/>
  <c r="AA57" i="1" a="1"/>
  <c r="Z56" i="1" a="1"/>
  <c r="AA56" i="1" a="1"/>
  <c r="AA55" i="1" a="1"/>
  <c r="Z55" i="1" a="1"/>
  <c r="AA54" i="1" a="1"/>
  <c r="Z54" i="1" a="1"/>
  <c r="Z120" i="1" a="1"/>
  <c r="AA128" i="1" a="1"/>
  <c r="Z128" i="1" a="1"/>
  <c r="Z121" i="1" a="1"/>
  <c r="AA121" i="1" a="1"/>
  <c r="AA120" i="1" a="1"/>
  <c r="AA125" i="1" a="1"/>
  <c r="Z125" i="1" a="1"/>
  <c r="AA124" i="1" a="1"/>
  <c r="Z124" i="1" a="1"/>
  <c r="Z123" i="1" a="1"/>
  <c r="AA123" i="1" a="1"/>
  <c r="Z122" i="1" a="1"/>
  <c r="AA122" i="1" a="1"/>
  <c r="Z127" i="1" a="1"/>
  <c r="AA127" i="1" a="1"/>
  <c r="Z126" i="1" a="1"/>
  <c r="AA126" i="1" a="1"/>
  <c r="J134" i="1" a="1"/>
  <c r="I135" i="1" a="1"/>
  <c r="I133" i="1" a="1"/>
  <c r="I134" i="1" a="1"/>
  <c r="J141" i="1" a="1"/>
  <c r="J138" i="1" a="1"/>
  <c r="I141" i="1" a="1"/>
  <c r="I138" i="1" a="1"/>
  <c r="I137" i="1" a="1"/>
  <c r="J136" i="1" a="1"/>
  <c r="J135" i="1" a="1"/>
  <c r="J133" i="1" a="1"/>
  <c r="J137" i="1" a="1"/>
  <c r="I140" i="1" a="1"/>
  <c r="J140" i="1" a="1"/>
  <c r="J139" i="1" a="1"/>
  <c r="I139" i="1" a="1"/>
  <c r="Z139" i="1" a="1"/>
  <c r="Z138" i="1" a="1"/>
  <c r="AA136" i="1" a="1"/>
  <c r="AA135" i="1" a="1"/>
  <c r="AA134" i="1" a="1"/>
  <c r="AA133" i="1" a="1"/>
  <c r="AA140" i="1" a="1"/>
  <c r="Z135" i="1" a="1"/>
  <c r="AA141" i="1" a="1"/>
  <c r="Z136" i="1" a="1"/>
  <c r="Z134" i="1" a="1"/>
  <c r="Z133" i="1" a="1"/>
  <c r="Z140" i="1" a="1"/>
  <c r="AA139" i="1" a="1"/>
  <c r="Z141" i="1" a="1"/>
  <c r="AA138" i="1" a="1"/>
  <c r="I102" i="1" a="1"/>
  <c r="J102" i="1" a="1"/>
  <c r="I115" i="1" a="1"/>
  <c r="J115" i="1" a="1"/>
  <c r="I114" i="1" a="1"/>
  <c r="J114" i="1" a="1"/>
  <c r="I127" i="1" a="1"/>
  <c r="J127" i="1" a="1"/>
  <c r="I125" i="1" a="1"/>
  <c r="J125" i="1" a="1"/>
  <c r="J122" i="1" a="1"/>
  <c r="I122" i="1" a="1"/>
  <c r="I68" i="1" a="1"/>
  <c r="I67" i="1" a="1"/>
  <c r="I72" i="1" a="1"/>
  <c r="J73" i="1" a="1"/>
  <c r="J72" i="1" a="1"/>
  <c r="J75" i="1" a="1"/>
  <c r="I73" i="1" a="1"/>
  <c r="J70" i="1" a="1"/>
  <c r="I75" i="1" a="1"/>
  <c r="J69" i="1" a="1"/>
  <c r="J74" i="1" a="1"/>
  <c r="J77" i="1" a="1"/>
  <c r="I74" i="1" a="1"/>
  <c r="I77" i="1" a="1"/>
  <c r="I71" i="1" a="1"/>
  <c r="I70" i="1" a="1"/>
  <c r="J68" i="1" a="1"/>
  <c r="J67" i="1" a="1"/>
  <c r="I69" i="1" a="1"/>
  <c r="J71" i="1" a="1"/>
  <c r="AT2" i="1" a="1"/>
  <c r="AS2" i="1" a="1"/>
  <c r="I150" i="1" a="1"/>
  <c r="J147" i="1" a="1"/>
  <c r="I148" i="1" a="1"/>
  <c r="I147" i="1" a="1"/>
  <c r="I146" i="1" a="1"/>
  <c r="I149" i="1" a="1"/>
  <c r="J146" i="1" a="1"/>
  <c r="J149" i="1" a="1"/>
  <c r="J150" i="1" a="1"/>
  <c r="J148" i="1" a="1"/>
  <c r="I153" i="1" a="1"/>
  <c r="J153" i="1" a="1"/>
  <c r="J154" i="1" a="1"/>
  <c r="I154" i="1" a="1"/>
  <c r="J156" i="1" a="1"/>
  <c r="I156" i="1" a="1"/>
  <c r="J155" i="1" a="1"/>
  <c r="I155" i="1" a="1"/>
  <c r="I152" i="1" a="1"/>
  <c r="J152" i="1" a="1"/>
  <c r="J151" i="1" a="1"/>
  <c r="I151" i="1" a="1"/>
  <c r="AA137" i="1" a="1"/>
  <c r="Z137" i="1" a="1"/>
  <c r="Z154" i="1" a="1"/>
  <c r="AA146" i="1" a="1"/>
  <c r="AA154" i="1" a="1"/>
  <c r="Z146" i="1" a="1"/>
  <c r="Z147" i="1" a="1"/>
  <c r="AA147" i="1" a="1"/>
  <c r="Z149" i="1" a="1"/>
  <c r="AA149" i="1" a="1"/>
  <c r="Z148" i="1" a="1"/>
  <c r="AA148" i="1" a="1"/>
  <c r="AA153" i="1" a="1"/>
  <c r="Z153" i="1" a="1"/>
  <c r="AA152" i="1" a="1"/>
  <c r="Z152" i="1" a="1"/>
  <c r="AA151" i="1" a="1"/>
  <c r="Z151" i="1" a="1"/>
  <c r="Z163" i="1" a="1"/>
  <c r="Z161" i="1" a="1"/>
  <c r="AA168" i="1" a="1"/>
  <c r="AA167" i="1" a="1"/>
  <c r="Z167" i="1" a="1"/>
  <c r="Z160" i="1" a="1"/>
  <c r="AA166" i="1" a="1"/>
  <c r="AA165" i="1" a="1"/>
  <c r="AA164" i="1" a="1"/>
  <c r="Z162" i="1" a="1"/>
  <c r="Z168" i="1" a="1"/>
  <c r="Z166" i="1" a="1"/>
  <c r="Z165" i="1" a="1"/>
  <c r="Z164" i="1" a="1"/>
  <c r="AA163" i="1" a="1"/>
  <c r="AA162" i="1" a="1"/>
  <c r="AA161" i="1" a="1"/>
  <c r="AA160" i="1" a="1"/>
  <c r="J164" i="1" a="1"/>
  <c r="J162" i="1" a="1"/>
  <c r="I165" i="1" a="1"/>
  <c r="J165" i="1" a="1"/>
  <c r="J161" i="1" a="1"/>
  <c r="I166" i="1" a="1"/>
  <c r="J166" i="1" a="1"/>
  <c r="J167" i="1" a="1"/>
  <c r="J168" i="1" a="1"/>
  <c r="J163" i="1" a="1"/>
  <c r="I168" i="1" a="1"/>
  <c r="I163" i="1" a="1"/>
  <c r="I162" i="1" a="1"/>
  <c r="I161" i="1" a="1"/>
  <c r="I160" i="1" a="1"/>
  <c r="J160" i="1" a="1"/>
  <c r="I167" i="1" a="1"/>
  <c r="I164" i="1" a="1"/>
  <c r="I174" i="1" a="1"/>
  <c r="I175" i="1" a="1"/>
  <c r="J176" i="1" a="1"/>
  <c r="J175" i="1" a="1"/>
  <c r="J174" i="1" a="1"/>
  <c r="I176" i="1" a="1"/>
  <c r="J181" i="1" a="1"/>
  <c r="I181" i="1" a="1"/>
  <c r="I178" i="1" a="1"/>
  <c r="J178" i="1" a="1"/>
  <c r="AA181" i="1" a="1"/>
  <c r="Z181" i="1" a="1"/>
  <c r="I177" i="1" a="1"/>
  <c r="J177" i="1" a="1"/>
  <c r="J173" i="1" a="1"/>
  <c r="I173" i="1" a="1"/>
  <c r="I180" i="1" a="1"/>
  <c r="J180" i="1" a="1"/>
  <c r="I179" i="1" a="1"/>
  <c r="J179" i="1" a="1"/>
  <c r="Z175" i="1" a="1"/>
  <c r="AA175" i="1" a="1"/>
  <c r="Z174" i="1" a="1"/>
  <c r="AA174" i="1" a="1"/>
  <c r="AA173" i="1" a="1"/>
  <c r="Z173" i="1" a="1"/>
  <c r="J194" i="1" a="1"/>
  <c r="I194" i="1" a="1"/>
  <c r="Z180" i="1" a="1"/>
  <c r="AA180" i="1" a="1"/>
  <c r="AA179" i="1" a="1"/>
  <c r="Z179" i="1" a="1"/>
  <c r="Z178" i="1" a="1"/>
  <c r="AA178" i="1" a="1"/>
  <c r="Z177" i="1" a="1"/>
  <c r="AA177" i="1" a="1"/>
  <c r="AA176" i="1" a="1"/>
  <c r="Z176" i="1" a="1"/>
  <c r="W186" i="1" a="1"/>
  <c r="X190" i="1" a="1"/>
  <c r="X194" i="1" a="1"/>
  <c r="W194" i="1" a="1"/>
  <c r="W190" i="1" a="1"/>
  <c r="X186" i="1" a="1"/>
  <c r="W189" i="1" a="1"/>
  <c r="X189" i="1" a="1"/>
  <c r="W191" i="1" a="1"/>
  <c r="X191" i="1" a="1"/>
  <c r="J192" i="1" a="1"/>
  <c r="I192" i="1" a="1"/>
  <c r="J190" i="1" a="1"/>
  <c r="I190" i="1" a="1"/>
  <c r="J191" i="1" a="1"/>
  <c r="I191" i="1" a="1"/>
  <c r="X193" i="1" a="1"/>
  <c r="W193" i="1" a="1"/>
  <c r="I193" i="1" a="1"/>
  <c r="J193" i="1" a="1"/>
  <c r="J202" i="1" a="1"/>
  <c r="J201" i="1" a="1"/>
  <c r="J199" i="1" a="1"/>
  <c r="I200" i="1" a="1"/>
  <c r="I199" i="1" a="1"/>
  <c r="I203" i="1" a="1"/>
  <c r="J200" i="1" a="1"/>
  <c r="I202" i="1" a="1"/>
  <c r="J207" i="1" a="1"/>
  <c r="J205" i="1" a="1"/>
  <c r="J204" i="1" a="1"/>
  <c r="I207" i="1" a="1"/>
  <c r="I206" i="1" a="1"/>
  <c r="I205" i="1" a="1"/>
  <c r="I204" i="1" a="1"/>
  <c r="J203" i="1" a="1"/>
  <c r="I201" i="1" a="1"/>
  <c r="J206" i="1" a="1"/>
  <c r="X188" i="1" a="1"/>
  <c r="W188" i="1" a="1"/>
  <c r="Z204" i="1" a="1"/>
  <c r="AA203" i="1" a="1"/>
  <c r="AA202" i="1" a="1"/>
  <c r="AA200" i="1" a="1"/>
  <c r="AA204" i="1" a="1"/>
  <c r="Z203" i="1" a="1"/>
  <c r="Z202" i="1" a="1"/>
  <c r="Z200" i="1" a="1"/>
  <c r="AA207" i="1" a="1"/>
  <c r="AA205" i="1" a="1"/>
  <c r="Z207" i="1" a="1"/>
  <c r="Z205" i="1" a="1"/>
  <c r="I217" i="1" a="1"/>
  <c r="I215" i="1" a="1"/>
  <c r="J213" i="1" a="1"/>
  <c r="J212" i="1" a="1"/>
  <c r="I213" i="1" a="1"/>
  <c r="I214" i="1" a="1"/>
  <c r="I212" i="1" a="1"/>
  <c r="J215" i="1" a="1"/>
  <c r="I216" i="1" a="1"/>
  <c r="J214" i="1" a="1"/>
  <c r="J220" i="1" a="1"/>
  <c r="J219" i="1" a="1"/>
  <c r="J218" i="1" a="1"/>
  <c r="J217" i="1" a="1"/>
  <c r="I220" i="1" a="1"/>
  <c r="I219" i="1" a="1"/>
  <c r="I218" i="1" a="1"/>
  <c r="J216" i="1" a="1"/>
  <c r="AA213" i="1" a="1"/>
  <c r="Z215" i="1" a="1"/>
  <c r="Z213" i="1" a="1"/>
  <c r="Z212" i="1" a="1"/>
  <c r="AA219" i="1" a="1"/>
  <c r="AA220" i="1" a="1"/>
  <c r="AA218" i="1" a="1"/>
  <c r="AA217" i="1" a="1"/>
  <c r="AA216" i="1" a="1"/>
  <c r="Z219" i="1" a="1"/>
  <c r="Z218" i="1" a="1"/>
  <c r="Z217" i="1" a="1"/>
  <c r="Z216" i="1" a="1"/>
  <c r="Z220" i="1" a="1"/>
  <c r="AA215" i="1" a="1"/>
  <c r="AA212" i="1" a="1"/>
  <c r="Z214" i="1" a="1"/>
  <c r="AA201" i="1" a="1"/>
  <c r="Z201" i="1" a="1"/>
  <c r="AA214" i="1" a="1"/>
  <c r="AA206" i="1" a="1"/>
  <c r="Z206" i="1" a="1"/>
  <c r="X192" i="1" a="1"/>
  <c r="W192" i="1" a="1"/>
  <c r="J188" i="1" a="1"/>
  <c r="I188" i="1" a="1"/>
  <c r="I186" i="1" a="1"/>
  <c r="J186" i="1" a="1"/>
  <c r="X187" i="1" a="1"/>
  <c r="W187" i="1" a="1"/>
  <c r="I189" i="1" a="1"/>
  <c r="J189" i="1" a="1"/>
  <c r="Z199" i="1" a="1"/>
  <c r="AA199" i="1" a="1"/>
  <c r="I187" i="1" a="1"/>
  <c r="J187" i="1" a="1"/>
  <c r="J230" i="1" a="1"/>
  <c r="I230" i="1" a="1"/>
  <c r="J228" i="1" a="1"/>
  <c r="J227" i="1" a="1"/>
  <c r="I229" i="1" a="1"/>
  <c r="J226" i="1" a="1"/>
  <c r="I228" i="1" a="1"/>
  <c r="I227" i="1" a="1"/>
  <c r="I226" i="1" a="1"/>
  <c r="J225" i="1" a="1"/>
  <c r="J233" i="1" a="1"/>
  <c r="J232" i="1" a="1"/>
  <c r="J231" i="1" a="1"/>
  <c r="I225" i="1" a="1"/>
  <c r="I233" i="1" a="1"/>
  <c r="I232" i="1" a="1"/>
  <c r="I231" i="1" a="1"/>
  <c r="J229" i="1" a="1"/>
  <c r="L232" i="1" l="1"/>
  <c r="L231" i="1"/>
  <c r="K230" i="1"/>
  <c r="I230" i="1"/>
  <c r="J230" i="1"/>
  <c r="L227" i="1"/>
  <c r="L226" i="1"/>
  <c r="J229" i="1"/>
  <c r="I231" i="1"/>
  <c r="M231" i="1" s="1"/>
  <c r="I232" i="1"/>
  <c r="I233" i="1"/>
  <c r="M233" i="1" s="1"/>
  <c r="I225" i="1"/>
  <c r="M225" i="1" s="1"/>
  <c r="J231" i="1"/>
  <c r="J232" i="1"/>
  <c r="J233" i="1"/>
  <c r="J225" i="1"/>
  <c r="I226" i="1"/>
  <c r="M226" i="1" s="1"/>
  <c r="I227" i="1"/>
  <c r="M227" i="1" s="1"/>
  <c r="I228" i="1"/>
  <c r="M228" i="1" s="1"/>
  <c r="J226" i="1"/>
  <c r="I229" i="1"/>
  <c r="M229" i="1" s="1"/>
  <c r="J227" i="1"/>
  <c r="J228" i="1"/>
  <c r="M230" i="1"/>
  <c r="K226" i="1"/>
  <c r="AC216" i="1"/>
  <c r="Z214" i="1"/>
  <c r="AD214" i="1" s="1"/>
  <c r="AA212" i="1"/>
  <c r="AA214" i="1"/>
  <c r="AA215" i="1"/>
  <c r="Z220" i="1"/>
  <c r="AD220" i="1" s="1"/>
  <c r="Z216" i="1"/>
  <c r="AD216" i="1" s="1"/>
  <c r="Z217" i="1"/>
  <c r="AD217" i="1" s="1"/>
  <c r="Z218" i="1"/>
  <c r="AD218" i="1" s="1"/>
  <c r="Z219" i="1"/>
  <c r="AD219" i="1" s="1"/>
  <c r="AA216" i="1"/>
  <c r="AA217" i="1"/>
  <c r="AA218" i="1"/>
  <c r="AA220" i="1"/>
  <c r="AA219" i="1"/>
  <c r="Z212" i="1"/>
  <c r="AD212" i="1" s="1"/>
  <c r="Z213" i="1"/>
  <c r="AD213" i="1" s="1"/>
  <c r="Z215" i="1"/>
  <c r="AD215" i="1" s="1"/>
  <c r="AA213" i="1"/>
  <c r="I217" i="1"/>
  <c r="L218" i="1"/>
  <c r="L217" i="1"/>
  <c r="L213" i="1"/>
  <c r="J216" i="1"/>
  <c r="I218" i="1"/>
  <c r="M218" i="1" s="1"/>
  <c r="I219" i="1"/>
  <c r="M219" i="1" s="1"/>
  <c r="I220" i="1"/>
  <c r="M220" i="1" s="1"/>
  <c r="J217" i="1"/>
  <c r="J218" i="1"/>
  <c r="J219" i="1"/>
  <c r="J220" i="1"/>
  <c r="J214" i="1"/>
  <c r="I216" i="1"/>
  <c r="M216" i="1" s="1"/>
  <c r="J215" i="1"/>
  <c r="M217" i="1"/>
  <c r="I212" i="1"/>
  <c r="M212" i="1" s="1"/>
  <c r="I214" i="1"/>
  <c r="M214" i="1" s="1"/>
  <c r="I213" i="1"/>
  <c r="M213" i="1" s="1"/>
  <c r="J212" i="1"/>
  <c r="J213" i="1"/>
  <c r="I215" i="1"/>
  <c r="M215" i="1" s="1"/>
  <c r="AC204" i="1"/>
  <c r="AC200" i="1"/>
  <c r="Z205" i="1"/>
  <c r="AD205" i="1" s="1"/>
  <c r="Z207" i="1"/>
  <c r="AD207" i="1" s="1"/>
  <c r="AA205" i="1"/>
  <c r="Z206" i="1"/>
  <c r="AD206" i="1" s="1"/>
  <c r="Z199" i="1"/>
  <c r="AD199" i="1" s="1"/>
  <c r="AA206" i="1"/>
  <c r="AA207" i="1"/>
  <c r="AA199" i="1"/>
  <c r="Z200" i="1"/>
  <c r="AD200" i="1" s="1"/>
  <c r="Z201" i="1"/>
  <c r="AD201" i="1" s="1"/>
  <c r="Z202" i="1"/>
  <c r="AD202" i="1" s="1"/>
  <c r="Z203" i="1"/>
  <c r="AD203" i="1" s="1"/>
  <c r="AA204" i="1"/>
  <c r="AA200" i="1"/>
  <c r="AA201" i="1"/>
  <c r="AA202" i="1"/>
  <c r="AA203" i="1"/>
  <c r="Z204" i="1"/>
  <c r="AD204" i="1" s="1"/>
  <c r="L206" i="1"/>
  <c r="L205" i="1"/>
  <c r="L204" i="1"/>
  <c r="L200" i="1"/>
  <c r="L199" i="1"/>
  <c r="J206" i="1"/>
  <c r="I201" i="1"/>
  <c r="J203" i="1"/>
  <c r="I204" i="1"/>
  <c r="M204" i="1" s="1"/>
  <c r="I205" i="1"/>
  <c r="M205" i="1" s="1"/>
  <c r="I206" i="1"/>
  <c r="M206" i="1" s="1"/>
  <c r="I207" i="1"/>
  <c r="M207" i="1" s="1"/>
  <c r="J204" i="1"/>
  <c r="J205" i="1"/>
  <c r="J207" i="1"/>
  <c r="I202" i="1"/>
  <c r="M202" i="1" s="1"/>
  <c r="J200" i="1"/>
  <c r="I203" i="1"/>
  <c r="M203" i="1" s="1"/>
  <c r="I199" i="1"/>
  <c r="M199" i="1" s="1"/>
  <c r="I200" i="1"/>
  <c r="M200" i="1" s="1"/>
  <c r="J199" i="1"/>
  <c r="J201" i="1"/>
  <c r="J202" i="1"/>
  <c r="L190" i="1"/>
  <c r="L188" i="1"/>
  <c r="Z187" i="1"/>
  <c r="L186" i="1"/>
  <c r="K186" i="1"/>
  <c r="X188" i="1"/>
  <c r="X189" i="1"/>
  <c r="X186" i="1"/>
  <c r="W190" i="1"/>
  <c r="AA190" i="1" s="1"/>
  <c r="W191" i="1"/>
  <c r="AA191" i="1" s="1"/>
  <c r="W192" i="1"/>
  <c r="AA192" i="1" s="1"/>
  <c r="W194" i="1"/>
  <c r="AA194" i="1" s="1"/>
  <c r="W193" i="1"/>
  <c r="AA193" i="1" s="1"/>
  <c r="X194" i="1"/>
  <c r="X190" i="1"/>
  <c r="X191" i="1"/>
  <c r="X192" i="1"/>
  <c r="X193" i="1"/>
  <c r="W187" i="1"/>
  <c r="AA187" i="1" s="1"/>
  <c r="W186" i="1"/>
  <c r="AA186" i="1" s="1"/>
  <c r="W188" i="1"/>
  <c r="AA188" i="1" s="1"/>
  <c r="W189" i="1"/>
  <c r="AA189" i="1" s="1"/>
  <c r="X187" i="1"/>
  <c r="J188" i="1"/>
  <c r="J189" i="1"/>
  <c r="I190" i="1"/>
  <c r="M190" i="1" s="1"/>
  <c r="I191" i="1"/>
  <c r="M191" i="1" s="1"/>
  <c r="I192" i="1"/>
  <c r="M192" i="1" s="1"/>
  <c r="I193" i="1"/>
  <c r="M193" i="1" s="1"/>
  <c r="I194" i="1"/>
  <c r="M194" i="1" s="1"/>
  <c r="J186" i="1"/>
  <c r="J190" i="1"/>
  <c r="J191" i="1"/>
  <c r="J192" i="1"/>
  <c r="J193" i="1"/>
  <c r="J194" i="1"/>
  <c r="I186" i="1"/>
  <c r="M186" i="1" s="1"/>
  <c r="I187" i="1"/>
  <c r="M187" i="1" s="1"/>
  <c r="J187" i="1"/>
  <c r="I188" i="1"/>
  <c r="M188" i="1" s="1"/>
  <c r="I189" i="1"/>
  <c r="M189" i="1" s="1"/>
  <c r="AC179" i="1"/>
  <c r="AC178" i="1"/>
  <c r="AC174" i="1"/>
  <c r="AA179" i="1"/>
  <c r="Z181" i="1"/>
  <c r="AD181" i="1" s="1"/>
  <c r="Z180" i="1"/>
  <c r="AD180" i="1" s="1"/>
  <c r="AA181" i="1"/>
  <c r="Z176" i="1"/>
  <c r="AD176" i="1" s="1"/>
  <c r="AA177" i="1"/>
  <c r="AA180" i="1"/>
  <c r="Z173" i="1"/>
  <c r="AD173" i="1" s="1"/>
  <c r="Z174" i="1"/>
  <c r="AD174" i="1" s="1"/>
  <c r="Z175" i="1"/>
  <c r="AD175" i="1" s="1"/>
  <c r="AA178" i="1"/>
  <c r="AA173" i="1"/>
  <c r="AA174" i="1"/>
  <c r="AA175" i="1"/>
  <c r="AA176" i="1"/>
  <c r="Z177" i="1"/>
  <c r="AD177" i="1" s="1"/>
  <c r="Z178" i="1"/>
  <c r="AD178" i="1" s="1"/>
  <c r="Z179" i="1"/>
  <c r="AD179" i="1" s="1"/>
  <c r="K178" i="1"/>
  <c r="L177" i="1"/>
  <c r="L176" i="1"/>
  <c r="K176" i="1"/>
  <c r="L173" i="1"/>
  <c r="K173" i="1"/>
  <c r="J179" i="1"/>
  <c r="I180" i="1"/>
  <c r="M180" i="1" s="1"/>
  <c r="I181" i="1"/>
  <c r="M181" i="1" s="1"/>
  <c r="J181" i="1"/>
  <c r="I173" i="1"/>
  <c r="M173" i="1" s="1"/>
  <c r="I176" i="1"/>
  <c r="M176" i="1" s="1"/>
  <c r="J180" i="1"/>
  <c r="J173" i="1"/>
  <c r="J174" i="1"/>
  <c r="J175" i="1"/>
  <c r="J176" i="1"/>
  <c r="I177" i="1"/>
  <c r="M177" i="1" s="1"/>
  <c r="J178" i="1"/>
  <c r="I175" i="1"/>
  <c r="M175" i="1" s="1"/>
  <c r="I178" i="1"/>
  <c r="M178" i="1" s="1"/>
  <c r="I174" i="1"/>
  <c r="M174" i="1" s="1"/>
  <c r="J177" i="1"/>
  <c r="I179" i="1"/>
  <c r="M179" i="1" s="1"/>
  <c r="AC161" i="1"/>
  <c r="AC167" i="1"/>
  <c r="AC166" i="1"/>
  <c r="AC165" i="1"/>
  <c r="AA160" i="1"/>
  <c r="AA161" i="1"/>
  <c r="AA162" i="1"/>
  <c r="AA163" i="1"/>
  <c r="Z164" i="1"/>
  <c r="AD164" i="1" s="1"/>
  <c r="Z165" i="1"/>
  <c r="AD165" i="1" s="1"/>
  <c r="Z166" i="1"/>
  <c r="AD166" i="1" s="1"/>
  <c r="Z168" i="1"/>
  <c r="AD168" i="1" s="1"/>
  <c r="Z162" i="1"/>
  <c r="AD162" i="1" s="1"/>
  <c r="AA164" i="1"/>
  <c r="AA165" i="1"/>
  <c r="AA166" i="1"/>
  <c r="Z160" i="1"/>
  <c r="AD160" i="1" s="1"/>
  <c r="Z167" i="1"/>
  <c r="AD167" i="1" s="1"/>
  <c r="AA167" i="1"/>
  <c r="AA168" i="1"/>
  <c r="Z161" i="1"/>
  <c r="AD161" i="1" s="1"/>
  <c r="Z163" i="1"/>
  <c r="AD163" i="1" s="1"/>
  <c r="AB164" i="1"/>
  <c r="L101" i="1"/>
  <c r="L165" i="1"/>
  <c r="I164" i="1"/>
  <c r="M164" i="1" s="1"/>
  <c r="I167" i="1"/>
  <c r="M167" i="1" s="1"/>
  <c r="J160" i="1"/>
  <c r="I160" i="1"/>
  <c r="M160" i="1" s="1"/>
  <c r="I161" i="1"/>
  <c r="M161" i="1" s="1"/>
  <c r="I162" i="1"/>
  <c r="M162" i="1" s="1"/>
  <c r="I163" i="1"/>
  <c r="M163" i="1" s="1"/>
  <c r="I168" i="1"/>
  <c r="M168" i="1" s="1"/>
  <c r="J163" i="1"/>
  <c r="J168" i="1"/>
  <c r="J167" i="1"/>
  <c r="J166" i="1"/>
  <c r="I166" i="1"/>
  <c r="M166" i="1" s="1"/>
  <c r="J161" i="1"/>
  <c r="J165" i="1"/>
  <c r="I165" i="1"/>
  <c r="M165" i="1" s="1"/>
  <c r="J162" i="1"/>
  <c r="J164" i="1"/>
  <c r="AB147" i="1"/>
  <c r="AA147" i="1"/>
  <c r="AE147" i="1" s="1"/>
  <c r="Z147" i="1"/>
  <c r="Z146" i="1"/>
  <c r="AD146" i="1" s="1"/>
  <c r="AF146" i="1" s="1"/>
  <c r="AA149" i="1"/>
  <c r="AE149" i="1" s="1"/>
  <c r="AA153" i="1"/>
  <c r="AE153" i="1" s="1"/>
  <c r="AA154" i="1"/>
  <c r="AE154" i="1" s="1"/>
  <c r="AA146" i="1"/>
  <c r="AE146" i="1" s="1"/>
  <c r="Z151" i="1"/>
  <c r="AD151" i="1" s="1"/>
  <c r="AF151" i="1" s="1"/>
  <c r="Z148" i="1"/>
  <c r="AD148" i="1" s="1"/>
  <c r="AF148" i="1" s="1"/>
  <c r="Z152" i="1"/>
  <c r="AD152" i="1" s="1"/>
  <c r="AF152" i="1" s="1"/>
  <c r="AA151" i="1"/>
  <c r="AE151" i="1" s="1"/>
  <c r="Z153" i="1"/>
  <c r="AD153" i="1" s="1"/>
  <c r="AF153" i="1" s="1"/>
  <c r="AA148" i="1"/>
  <c r="AE148" i="1" s="1"/>
  <c r="Z149" i="1"/>
  <c r="AD149" i="1" s="1"/>
  <c r="AF149" i="1" s="1"/>
  <c r="AA152" i="1"/>
  <c r="AE152" i="1" s="1"/>
  <c r="Z154" i="1"/>
  <c r="AD154" i="1" s="1"/>
  <c r="AF154" i="1" s="1"/>
  <c r="L153" i="1"/>
  <c r="I156" i="1"/>
  <c r="M156" i="1" s="1"/>
  <c r="J156" i="1"/>
  <c r="I155" i="1"/>
  <c r="M155" i="1" s="1"/>
  <c r="J155" i="1"/>
  <c r="L152" i="1"/>
  <c r="L150" i="1"/>
  <c r="L148" i="1"/>
  <c r="L146" i="1"/>
  <c r="L151" i="1"/>
  <c r="J153" i="1"/>
  <c r="J148" i="1"/>
  <c r="J150" i="1"/>
  <c r="I151" i="1"/>
  <c r="I152" i="1"/>
  <c r="M152" i="1" s="1"/>
  <c r="I153" i="1"/>
  <c r="M153" i="1" s="1"/>
  <c r="I154" i="1"/>
  <c r="M154" i="1" s="1"/>
  <c r="J149" i="1"/>
  <c r="J151" i="1"/>
  <c r="J152" i="1"/>
  <c r="J154" i="1"/>
  <c r="J146" i="1"/>
  <c r="I149" i="1"/>
  <c r="M149" i="1" s="1"/>
  <c r="I146" i="1"/>
  <c r="M146" i="1" s="1"/>
  <c r="I147" i="1"/>
  <c r="M147" i="1" s="1"/>
  <c r="I148" i="1"/>
  <c r="M148" i="1" s="1"/>
  <c r="J147" i="1"/>
  <c r="I150" i="1"/>
  <c r="M150" i="1" s="1"/>
  <c r="AS2" i="1"/>
  <c r="AW2" i="1"/>
  <c r="J71" i="1"/>
  <c r="N71" i="1" s="1"/>
  <c r="I69" i="1"/>
  <c r="J67" i="1"/>
  <c r="J68" i="1"/>
  <c r="I70" i="1"/>
  <c r="I71" i="1"/>
  <c r="M71" i="1" s="1"/>
  <c r="I77" i="1"/>
  <c r="I74" i="1"/>
  <c r="J77" i="1"/>
  <c r="J74" i="1"/>
  <c r="J69" i="1"/>
  <c r="I75" i="1"/>
  <c r="J70" i="1"/>
  <c r="I73" i="1"/>
  <c r="J75" i="1"/>
  <c r="J72" i="1"/>
  <c r="J73" i="1"/>
  <c r="I72" i="1"/>
  <c r="I67" i="1"/>
  <c r="I68" i="1"/>
  <c r="L72" i="1"/>
  <c r="L73" i="1"/>
  <c r="L74" i="1"/>
  <c r="AT2" i="1"/>
  <c r="AX2" i="1"/>
  <c r="AC140" i="1"/>
  <c r="AC137" i="1"/>
  <c r="AC134" i="1"/>
  <c r="AA138" i="1"/>
  <c r="Z141" i="1"/>
  <c r="AD141" i="1" s="1"/>
  <c r="AA137" i="1"/>
  <c r="AA139" i="1"/>
  <c r="Z140" i="1"/>
  <c r="AD140" i="1" s="1"/>
  <c r="Z133" i="1"/>
  <c r="AD133" i="1" s="1"/>
  <c r="Z134" i="1"/>
  <c r="AD134" i="1" s="1"/>
  <c r="Z136" i="1"/>
  <c r="AD136" i="1" s="1"/>
  <c r="AA141" i="1"/>
  <c r="Z135" i="1"/>
  <c r="AD135" i="1" s="1"/>
  <c r="AA140" i="1"/>
  <c r="AA133" i="1"/>
  <c r="AA134" i="1"/>
  <c r="AA135" i="1"/>
  <c r="AA136" i="1"/>
  <c r="Z137" i="1"/>
  <c r="AD137" i="1" s="1"/>
  <c r="Z138" i="1"/>
  <c r="AD138" i="1" s="1"/>
  <c r="Z139" i="1"/>
  <c r="AD139" i="1" s="1"/>
  <c r="L140" i="1"/>
  <c r="K139" i="1"/>
  <c r="J137" i="1"/>
  <c r="J133" i="1"/>
  <c r="J135" i="1"/>
  <c r="J136" i="1"/>
  <c r="I137" i="1"/>
  <c r="M137" i="1" s="1"/>
  <c r="I138" i="1"/>
  <c r="M138" i="1" s="1"/>
  <c r="I139" i="1"/>
  <c r="M139" i="1" s="1"/>
  <c r="I141" i="1"/>
  <c r="M141" i="1" s="1"/>
  <c r="I140" i="1"/>
  <c r="M140" i="1" s="1"/>
  <c r="J138" i="1"/>
  <c r="J139" i="1"/>
  <c r="J141" i="1"/>
  <c r="J140" i="1"/>
  <c r="I134" i="1"/>
  <c r="M134" i="1" s="1"/>
  <c r="I133" i="1"/>
  <c r="M133" i="1" s="1"/>
  <c r="I135" i="1"/>
  <c r="M135" i="1" s="1"/>
  <c r="M136" i="1"/>
  <c r="J134" i="1"/>
  <c r="AC124" i="1"/>
  <c r="AA120" i="1"/>
  <c r="AA121" i="1"/>
  <c r="AA122" i="1"/>
  <c r="AA123" i="1"/>
  <c r="Z124" i="1"/>
  <c r="AD124" i="1" s="1"/>
  <c r="Z125" i="1"/>
  <c r="AD125" i="1" s="1"/>
  <c r="Z126" i="1"/>
  <c r="AD126" i="1" s="1"/>
  <c r="Z121" i="1"/>
  <c r="AD121" i="1" s="1"/>
  <c r="Z127" i="1"/>
  <c r="AD127" i="1" s="1"/>
  <c r="Z128" i="1"/>
  <c r="AD128" i="1" s="1"/>
  <c r="AA126" i="1"/>
  <c r="AA128" i="1"/>
  <c r="Z120" i="1"/>
  <c r="AD120" i="1" s="1"/>
  <c r="AA127" i="1"/>
  <c r="AA124" i="1"/>
  <c r="AA125" i="1"/>
  <c r="Z123" i="1"/>
  <c r="AD123" i="1" s="1"/>
  <c r="Z122" i="1"/>
  <c r="AD122" i="1" s="1"/>
  <c r="Z64" i="1"/>
  <c r="AA64" i="1"/>
  <c r="AC61" i="1"/>
  <c r="AC60" i="1"/>
  <c r="AC59" i="1"/>
  <c r="L61" i="1"/>
  <c r="Z54" i="1"/>
  <c r="AA55" i="1"/>
  <c r="AA54" i="1"/>
  <c r="Z62" i="1"/>
  <c r="Z61" i="1"/>
  <c r="Z58" i="1"/>
  <c r="AD58" i="1" s="1"/>
  <c r="Z60" i="1"/>
  <c r="AA62" i="1"/>
  <c r="Z57" i="1"/>
  <c r="Z59" i="1"/>
  <c r="AA61" i="1"/>
  <c r="AA56" i="1"/>
  <c r="Z56" i="1"/>
  <c r="AA58" i="1"/>
  <c r="AE58" i="1" s="1"/>
  <c r="AA60" i="1"/>
  <c r="Z55" i="1"/>
  <c r="AA57" i="1"/>
  <c r="AA59" i="1"/>
  <c r="J55" i="1"/>
  <c r="J54" i="1"/>
  <c r="I62" i="1"/>
  <c r="I61" i="1"/>
  <c r="I58" i="1"/>
  <c r="M58" i="1" s="1"/>
  <c r="I60" i="1"/>
  <c r="J62" i="1"/>
  <c r="I54" i="1"/>
  <c r="I57" i="1"/>
  <c r="I59" i="1"/>
  <c r="J61" i="1"/>
  <c r="I56" i="1"/>
  <c r="J58" i="1"/>
  <c r="N58" i="1" s="1"/>
  <c r="J60" i="1"/>
  <c r="J56" i="1"/>
  <c r="I55" i="1"/>
  <c r="J57" i="1"/>
  <c r="J59" i="1"/>
  <c r="L124" i="1"/>
  <c r="I122" i="1"/>
  <c r="M122" i="1" s="1"/>
  <c r="J121" i="1"/>
  <c r="J125" i="1"/>
  <c r="I120" i="1"/>
  <c r="M120" i="1" s="1"/>
  <c r="I124" i="1"/>
  <c r="M124" i="1" s="1"/>
  <c r="I125" i="1"/>
  <c r="M125" i="1" s="1"/>
  <c r="I128" i="1"/>
  <c r="M128" i="1" s="1"/>
  <c r="I121" i="1"/>
  <c r="M121" i="1" s="1"/>
  <c r="I123" i="1"/>
  <c r="M123" i="1" s="1"/>
  <c r="I126" i="1"/>
  <c r="M126" i="1" s="1"/>
  <c r="I127" i="1"/>
  <c r="M127" i="1" s="1"/>
  <c r="J122" i="1"/>
  <c r="J128" i="1"/>
  <c r="J120" i="1"/>
  <c r="J126" i="1"/>
  <c r="J127" i="1"/>
  <c r="J124" i="1"/>
  <c r="J123" i="1"/>
  <c r="Z113" i="1"/>
  <c r="Z108" i="1"/>
  <c r="AD108" i="1" s="1"/>
  <c r="Z110" i="1"/>
  <c r="AD110" i="1" s="1"/>
  <c r="Z112" i="1"/>
  <c r="AD112" i="1" s="1"/>
  <c r="Z115" i="1"/>
  <c r="AD115" i="1" s="1"/>
  <c r="Z107" i="1"/>
  <c r="AD107" i="1" s="1"/>
  <c r="Z109" i="1"/>
  <c r="AD109" i="1" s="1"/>
  <c r="Z111" i="1"/>
  <c r="AD111" i="1" s="1"/>
  <c r="AD113" i="1"/>
  <c r="Z114" i="1"/>
  <c r="AD114" i="1" s="1"/>
  <c r="AA107" i="1"/>
  <c r="AA108" i="1"/>
  <c r="AA109" i="1"/>
  <c r="AA110" i="1"/>
  <c r="AA111" i="1"/>
  <c r="AA112" i="1"/>
  <c r="AA113" i="1"/>
  <c r="AA115" i="1"/>
  <c r="AA114" i="1"/>
  <c r="Z49" i="1"/>
  <c r="AB49" i="1"/>
  <c r="G98" i="1"/>
  <c r="Z98" i="1"/>
  <c r="AD98" i="1" s="1"/>
  <c r="Z99" i="1"/>
  <c r="AD99" i="1" s="1"/>
  <c r="Z100" i="1"/>
  <c r="AD100" i="1" s="1"/>
  <c r="Z101" i="1"/>
  <c r="AD101" i="1" s="1"/>
  <c r="Z102" i="1"/>
  <c r="AD102" i="1" s="1"/>
  <c r="AA94" i="1"/>
  <c r="AA95" i="1"/>
  <c r="AA96" i="1"/>
  <c r="AA97" i="1"/>
  <c r="Z94" i="1"/>
  <c r="AD94" i="1" s="1"/>
  <c r="AA102" i="1"/>
  <c r="Z95" i="1"/>
  <c r="AD95" i="1" s="1"/>
  <c r="Z97" i="1"/>
  <c r="AD97" i="1" s="1"/>
  <c r="AA101" i="1"/>
  <c r="AA98" i="1"/>
  <c r="AA100" i="1"/>
  <c r="Z96" i="1"/>
  <c r="AD96" i="1" s="1"/>
  <c r="AA99" i="1"/>
  <c r="I115" i="1"/>
  <c r="M115" i="1" s="1"/>
  <c r="O115" i="1" s="1"/>
  <c r="I102" i="1"/>
  <c r="M102" i="1" s="1"/>
  <c r="L107" i="1"/>
  <c r="I98" i="1"/>
  <c r="M98" i="1" s="1"/>
  <c r="I94" i="1"/>
  <c r="M94" i="1" s="1"/>
  <c r="J94" i="1"/>
  <c r="J111" i="1"/>
  <c r="N111" i="1" s="1"/>
  <c r="I108" i="1"/>
  <c r="M108" i="1" s="1"/>
  <c r="O108" i="1" s="1"/>
  <c r="J107" i="1"/>
  <c r="I113" i="1"/>
  <c r="M113" i="1" s="1"/>
  <c r="O113" i="1" s="1"/>
  <c r="J115" i="1"/>
  <c r="N115" i="1" s="1"/>
  <c r="I109" i="1"/>
  <c r="M109" i="1" s="1"/>
  <c r="O109" i="1" s="1"/>
  <c r="J108" i="1"/>
  <c r="N108" i="1" s="1"/>
  <c r="I112" i="1"/>
  <c r="M112" i="1" s="1"/>
  <c r="O112" i="1" s="1"/>
  <c r="J114" i="1"/>
  <c r="N114" i="1" s="1"/>
  <c r="J110" i="1"/>
  <c r="N110" i="1" s="1"/>
  <c r="I107" i="1"/>
  <c r="M107" i="1" s="1"/>
  <c r="O107" i="1" s="1"/>
  <c r="I111" i="1"/>
  <c r="M111" i="1" s="1"/>
  <c r="O111" i="1" s="1"/>
  <c r="J113" i="1"/>
  <c r="N113" i="1" s="1"/>
  <c r="J109" i="1"/>
  <c r="N109" i="1" s="1"/>
  <c r="I114" i="1"/>
  <c r="M114" i="1" s="1"/>
  <c r="O114" i="1" s="1"/>
  <c r="I110" i="1"/>
  <c r="M110" i="1" s="1"/>
  <c r="O110" i="1" s="1"/>
  <c r="J112" i="1"/>
  <c r="N112" i="1" s="1"/>
  <c r="I97" i="1"/>
  <c r="M97" i="1" s="1"/>
  <c r="I96" i="1"/>
  <c r="M96" i="1" s="1"/>
  <c r="I95" i="1"/>
  <c r="M95" i="1" s="1"/>
  <c r="J97" i="1"/>
  <c r="J96" i="1"/>
  <c r="J95" i="1"/>
  <c r="I101" i="1"/>
  <c r="M101" i="1" s="1"/>
  <c r="I100" i="1"/>
  <c r="M100" i="1" s="1"/>
  <c r="J102" i="1"/>
  <c r="I99" i="1"/>
  <c r="M99" i="1" s="1"/>
  <c r="J101" i="1"/>
  <c r="J99" i="1"/>
  <c r="J100" i="1"/>
  <c r="AC49" i="1"/>
  <c r="AA51" i="1"/>
  <c r="Z51" i="1"/>
  <c r="Z4" i="1"/>
  <c r="I49" i="1"/>
  <c r="M49" i="1" s="1"/>
  <c r="J49" i="1"/>
  <c r="N49" i="1" s="1"/>
  <c r="K48" i="1"/>
  <c r="J48" i="1"/>
  <c r="N48" i="1" s="1"/>
  <c r="I48" i="1"/>
  <c r="K45" i="1"/>
  <c r="Z31" i="1"/>
  <c r="G33" i="1"/>
  <c r="L33" i="1" s="1"/>
  <c r="K31" i="1"/>
  <c r="D31" i="1"/>
  <c r="G47" i="1"/>
  <c r="L47" i="1" s="1"/>
  <c r="L46" i="1"/>
  <c r="G45" i="1"/>
  <c r="L45" i="1" s="1"/>
  <c r="G44" i="1"/>
  <c r="K43" i="1"/>
  <c r="G43" i="1"/>
  <c r="L43" i="1" s="1"/>
  <c r="G42" i="1"/>
  <c r="L42" i="1" s="1"/>
  <c r="K41" i="1"/>
  <c r="G41" i="1"/>
  <c r="L41" i="1" s="1"/>
  <c r="X49" i="1"/>
  <c r="X48" i="1"/>
  <c r="AC48" i="1" s="1"/>
  <c r="AB47" i="1"/>
  <c r="X47" i="1"/>
  <c r="AC47" i="1" s="1"/>
  <c r="AB46" i="1"/>
  <c r="X46" i="1"/>
  <c r="AC46" i="1" s="1"/>
  <c r="AB45" i="1"/>
  <c r="X45" i="1"/>
  <c r="AC45" i="1" s="1"/>
  <c r="AB44" i="1"/>
  <c r="X44" i="1"/>
  <c r="AC44" i="1" s="1"/>
  <c r="AB43" i="1"/>
  <c r="X43" i="1"/>
  <c r="AC43" i="1" s="1"/>
  <c r="AB42" i="1"/>
  <c r="X42" i="1"/>
  <c r="AC42" i="1" s="1"/>
  <c r="AB41" i="1"/>
  <c r="X41" i="1"/>
  <c r="AC41" i="1" s="1"/>
  <c r="AB36" i="1"/>
  <c r="X36" i="1"/>
  <c r="AC36" i="1" s="1"/>
  <c r="AB35" i="1"/>
  <c r="X35" i="1"/>
  <c r="AC35" i="1" s="1"/>
  <c r="AB34" i="1"/>
  <c r="X34" i="1"/>
  <c r="AB33" i="1"/>
  <c r="X33" i="1"/>
  <c r="AC33" i="1" s="1"/>
  <c r="AB32" i="1"/>
  <c r="X32" i="1"/>
  <c r="AC32" i="1" s="1"/>
  <c r="X31" i="1"/>
  <c r="AB30" i="1"/>
  <c r="X30" i="1"/>
  <c r="AC30" i="1" s="1"/>
  <c r="AB29" i="1"/>
  <c r="X29" i="1"/>
  <c r="AC29" i="1" s="1"/>
  <c r="AB28" i="1"/>
  <c r="X28" i="1"/>
  <c r="AC28" i="1" s="1"/>
  <c r="K36" i="1"/>
  <c r="G36" i="1"/>
  <c r="L36" i="1" s="1"/>
  <c r="K35" i="1"/>
  <c r="G35" i="1"/>
  <c r="L35" i="1" s="1"/>
  <c r="K34" i="1"/>
  <c r="G34" i="1"/>
  <c r="L34" i="1" s="1"/>
  <c r="K33" i="1"/>
  <c r="K32" i="1"/>
  <c r="G32" i="1"/>
  <c r="L32" i="1" s="1"/>
  <c r="G31" i="1"/>
  <c r="K30" i="1"/>
  <c r="G30" i="1"/>
  <c r="L30" i="1" s="1"/>
  <c r="K29" i="1"/>
  <c r="G29" i="1"/>
  <c r="L29" i="1" s="1"/>
  <c r="K28" i="1"/>
  <c r="G28" i="1"/>
  <c r="L28" i="1" s="1"/>
  <c r="W23" i="1"/>
  <c r="AB23" i="1" s="1"/>
  <c r="U22" i="1"/>
  <c r="G23" i="1"/>
  <c r="G22" i="1"/>
  <c r="L22" i="1" s="1"/>
  <c r="G21" i="1"/>
  <c r="G20" i="1"/>
  <c r="L20" i="1" s="1"/>
  <c r="G19" i="1"/>
  <c r="L19" i="1" s="1"/>
  <c r="G18" i="1"/>
  <c r="G17" i="1"/>
  <c r="L17" i="1" s="1"/>
  <c r="G16" i="1"/>
  <c r="L16" i="1" s="1"/>
  <c r="G15" i="1"/>
  <c r="G10" i="1"/>
  <c r="L10" i="1" s="1"/>
  <c r="G9" i="1"/>
  <c r="L9" i="1" s="1"/>
  <c r="G8" i="1"/>
  <c r="L8" i="1" s="1"/>
  <c r="G7" i="1"/>
  <c r="L7" i="1" s="1"/>
  <c r="G6" i="1"/>
  <c r="G5" i="1"/>
  <c r="L5" i="1" s="1"/>
  <c r="G4" i="1"/>
  <c r="L4" i="1" s="1"/>
  <c r="L3" i="1"/>
  <c r="G2" i="1"/>
  <c r="L2" i="1" s="1"/>
  <c r="X10" i="1"/>
  <c r="X9" i="1"/>
  <c r="AC9" i="1" s="1"/>
  <c r="X8" i="1"/>
  <c r="AC8" i="1" s="1"/>
  <c r="X7" i="1"/>
  <c r="AC7" i="1" s="1"/>
  <c r="X6" i="1"/>
  <c r="AC6" i="1" s="1"/>
  <c r="X5" i="1"/>
  <c r="AC5" i="1" s="1"/>
  <c r="AC3" i="1"/>
  <c r="AC2" i="1"/>
  <c r="X22" i="1"/>
  <c r="AC22" i="1" s="1"/>
  <c r="X21" i="1"/>
  <c r="AC21" i="1" s="1"/>
  <c r="X20" i="1"/>
  <c r="AC20" i="1" s="1"/>
  <c r="X19" i="1"/>
  <c r="AC19" i="1" s="1"/>
  <c r="X18" i="1"/>
  <c r="AC18" i="1" s="1"/>
  <c r="X15" i="1"/>
  <c r="AC15" i="1" s="1"/>
  <c r="X16" i="1"/>
  <c r="AC16" i="1" s="1"/>
  <c r="X17" i="1"/>
  <c r="AC17" i="1" s="1"/>
  <c r="AB22" i="1"/>
  <c r="AB21" i="1"/>
  <c r="AB20" i="1"/>
  <c r="AB19" i="1"/>
  <c r="AB18" i="1"/>
  <c r="AB17" i="1"/>
  <c r="AB16" i="1"/>
  <c r="AB15" i="1"/>
  <c r="AB10" i="1"/>
  <c r="AC10" i="1"/>
  <c r="AB9" i="1"/>
  <c r="AB8" i="1"/>
  <c r="AB7" i="1"/>
  <c r="AB6" i="1"/>
  <c r="AB5" i="1"/>
  <c r="AB4" i="1"/>
  <c r="AC4" i="1"/>
  <c r="AB3" i="1"/>
  <c r="AB2" i="1"/>
  <c r="K23" i="1"/>
  <c r="L23" i="1"/>
  <c r="K22" i="1"/>
  <c r="K21" i="1"/>
  <c r="L21" i="1"/>
  <c r="K20" i="1"/>
  <c r="K19" i="1"/>
  <c r="K18" i="1"/>
  <c r="L18" i="1"/>
  <c r="K17" i="1"/>
  <c r="K16" i="1"/>
  <c r="K15" i="1"/>
  <c r="L15" i="1"/>
  <c r="K6" i="1"/>
  <c r="K10" i="1"/>
  <c r="K9" i="1"/>
  <c r="K8" i="1"/>
  <c r="K7" i="1"/>
  <c r="K5" i="1"/>
  <c r="K4" i="1"/>
  <c r="K3" i="1"/>
  <c r="K2" i="1"/>
  <c r="AA33" i="1" a="1"/>
  <c r="Z10" i="1" a="1"/>
  <c r="Z48" i="1" a="1"/>
  <c r="AA4" i="1" a="1"/>
  <c r="I41" i="1" a="1"/>
  <c r="AA21" i="1" a="1"/>
  <c r="AA3" i="1" a="1"/>
  <c r="Z15" i="1" a="1"/>
  <c r="AA31" i="1" a="1"/>
  <c r="J29" i="1" a="1"/>
  <c r="J7" i="1" a="1"/>
  <c r="J35" i="1" a="1"/>
  <c r="I7" i="1" a="1"/>
  <c r="AA32" i="1" a="1"/>
  <c r="I10" i="1" a="1"/>
  <c r="I43" i="1" a="1"/>
  <c r="AA22" i="1" a="1"/>
  <c r="AA10" i="1" a="1"/>
  <c r="I46" i="1" a="1"/>
  <c r="Z29" i="1" a="1"/>
  <c r="I19" i="1" a="1"/>
  <c r="AA34" i="1" a="1"/>
  <c r="J22" i="1" a="1"/>
  <c r="J42" i="1" a="1"/>
  <c r="AA20" i="1" a="1"/>
  <c r="J47" i="1" a="1"/>
  <c r="AA7" i="1" a="1"/>
  <c r="I35" i="1" a="1"/>
  <c r="J30" i="1" a="1"/>
  <c r="I47" i="1" a="1"/>
  <c r="I28" i="1" a="1"/>
  <c r="Z44" i="1" a="1"/>
  <c r="I33" i="1" a="1"/>
  <c r="J6" i="1" a="1"/>
  <c r="J43" i="1" a="1"/>
  <c r="Z22" i="1" a="1"/>
  <c r="I20" i="1" a="1"/>
  <c r="J33" i="1" a="1"/>
  <c r="I22" i="1" a="1"/>
  <c r="Z35" i="1" a="1"/>
  <c r="J16" i="1" a="1"/>
  <c r="Z45" i="1" a="1"/>
  <c r="AA9" i="1" a="1"/>
  <c r="AA48" i="1" a="1"/>
  <c r="Z7" i="1" a="1"/>
  <c r="J17" i="1" a="1"/>
  <c r="AA15" i="1" a="1"/>
  <c r="J31" i="1" a="1"/>
  <c r="Z20" i="1" a="1"/>
  <c r="Z6" i="1" a="1"/>
  <c r="I30" i="1" a="1"/>
  <c r="Z30" i="1" a="1"/>
  <c r="Z17" i="1" a="1"/>
  <c r="I3" i="1" a="1"/>
  <c r="I17" i="1" a="1"/>
  <c r="I18" i="1" a="1"/>
  <c r="J36" i="1" a="1"/>
  <c r="I9" i="1" a="1"/>
  <c r="I31" i="1" a="1"/>
  <c r="J9" i="1" a="1"/>
  <c r="AA42" i="1" a="1"/>
  <c r="Z2" i="1" a="1"/>
  <c r="AA35" i="1" a="1"/>
  <c r="Z3" i="1" a="1"/>
  <c r="I45" i="1" a="1"/>
  <c r="Z5" i="1" a="1"/>
  <c r="J10" i="1" a="1"/>
  <c r="AA18" i="1" a="1"/>
  <c r="J98" i="1" a="1"/>
  <c r="Z21" i="1" a="1"/>
  <c r="J21" i="1" a="1"/>
  <c r="AA17" i="1" a="1"/>
  <c r="J3" i="1" a="1"/>
  <c r="Z32" i="1" a="1"/>
  <c r="Z43" i="1" a="1"/>
  <c r="I29" i="1" a="1"/>
  <c r="J5" i="1" a="1"/>
  <c r="I34" i="1" a="1"/>
  <c r="I5" i="1" a="1"/>
  <c r="J46" i="1" a="1"/>
  <c r="AA16" i="1" a="1"/>
  <c r="I6" i="1" a="1"/>
  <c r="J32" i="1" a="1"/>
  <c r="J4" i="1" a="1"/>
  <c r="AA29" i="1" a="1"/>
  <c r="I23" i="1" a="1"/>
  <c r="I32" i="1" a="1"/>
  <c r="I15" i="1" a="1"/>
  <c r="Z46" i="1" a="1"/>
  <c r="J20" i="1" a="1"/>
  <c r="AA49" i="1" a="1"/>
  <c r="Z8" i="1" a="1"/>
  <c r="AA46" i="1" a="1"/>
  <c r="AA8" i="1" a="1"/>
  <c r="AA43" i="1" a="1"/>
  <c r="J18" i="1" a="1"/>
  <c r="J45" i="1" a="1"/>
  <c r="Z9" i="1" a="1"/>
  <c r="J41" i="1" a="1"/>
  <c r="AA19" i="1" a="1"/>
  <c r="I44" i="1" a="1"/>
  <c r="Z23" i="1" a="1"/>
  <c r="AA28" i="1" a="1"/>
  <c r="J34" i="1" a="1"/>
  <c r="I8" i="1" a="1"/>
  <c r="I36" i="1" a="1"/>
  <c r="J8" i="1" a="1"/>
  <c r="Z33" i="1" a="1"/>
  <c r="J23" i="1" a="1"/>
  <c r="AA36" i="1" a="1"/>
  <c r="I21" i="1" a="1"/>
  <c r="AA44" i="1" a="1"/>
  <c r="AA2" i="1" a="1"/>
  <c r="Z47" i="1" a="1"/>
  <c r="J2" i="1" a="1"/>
  <c r="Z36" i="1" a="1"/>
  <c r="AA45" i="1" a="1"/>
  <c r="AA5" i="1" a="1"/>
  <c r="I42" i="1" a="1"/>
  <c r="AA6" i="1" a="1"/>
  <c r="Z18" i="1" a="1"/>
  <c r="J28" i="1" a="1"/>
  <c r="Z42" i="1" a="1"/>
  <c r="Z19" i="1" a="1"/>
  <c r="I4" i="1" a="1"/>
  <c r="AA30" i="1" a="1"/>
  <c r="I16" i="1" a="1"/>
  <c r="Z28" i="1" a="1"/>
  <c r="J19" i="1" a="1"/>
  <c r="Z34" i="1" a="1"/>
  <c r="J15" i="1" a="1"/>
  <c r="AA47" i="1" a="1"/>
  <c r="I2" i="1" a="1"/>
  <c r="J44" i="1" a="1"/>
  <c r="Z16" i="1" a="1"/>
  <c r="AA41" i="1" a="1"/>
  <c r="Z41" i="1" a="1"/>
  <c r="AD147" i="1" l="1"/>
  <c r="AF147" i="1" s="1"/>
  <c r="O156" i="1"/>
  <c r="J98" i="1"/>
  <c r="N107" i="1"/>
  <c r="L98" i="1"/>
  <c r="M48" i="1"/>
  <c r="AA31" i="1"/>
  <c r="AC31" i="1"/>
  <c r="AB31" i="1" s="1"/>
  <c r="X23" i="1"/>
  <c r="L31" i="1"/>
  <c r="I43" i="1"/>
  <c r="M43" i="1" s="1"/>
  <c r="J44" i="1"/>
  <c r="J43" i="1"/>
  <c r="N43" i="1" s="1"/>
  <c r="J42" i="1"/>
  <c r="N42" i="1" s="1"/>
  <c r="I42" i="1"/>
  <c r="M42" i="1" s="1"/>
  <c r="J41" i="1"/>
  <c r="N41" i="1" s="1"/>
  <c r="I47" i="1"/>
  <c r="I46" i="1"/>
  <c r="J45" i="1"/>
  <c r="N45" i="1" s="1"/>
  <c r="I45" i="1"/>
  <c r="M45" i="1" s="1"/>
  <c r="J47" i="1"/>
  <c r="I41" i="1"/>
  <c r="M41" i="1" s="1"/>
  <c r="I44" i="1"/>
  <c r="J46" i="1"/>
  <c r="Z42" i="1"/>
  <c r="AA44" i="1"/>
  <c r="Z41" i="1"/>
  <c r="AA43" i="1"/>
  <c r="AD49" i="1"/>
  <c r="AA42" i="1"/>
  <c r="Z48" i="1"/>
  <c r="AA45" i="1"/>
  <c r="AA41" i="1"/>
  <c r="Z47" i="1"/>
  <c r="AA49" i="1"/>
  <c r="AE49" i="1" s="1"/>
  <c r="Z46" i="1"/>
  <c r="AA48" i="1"/>
  <c r="Z45" i="1"/>
  <c r="AA47" i="1"/>
  <c r="Z43" i="1"/>
  <c r="Z44" i="1"/>
  <c r="AA46" i="1"/>
  <c r="Z30" i="1"/>
  <c r="AA32" i="1"/>
  <c r="AE32" i="1" s="1"/>
  <c r="Z28" i="1"/>
  <c r="AD28" i="1" s="1"/>
  <c r="AA30" i="1"/>
  <c r="Z36" i="1"/>
  <c r="AD36" i="1" s="1"/>
  <c r="AA29" i="1"/>
  <c r="AE29" i="1" s="1"/>
  <c r="Z35" i="1"/>
  <c r="AD35" i="1" s="1"/>
  <c r="Z29" i="1"/>
  <c r="AD29" i="1" s="1"/>
  <c r="AA28" i="1"/>
  <c r="AE28" i="1" s="1"/>
  <c r="Z34" i="1"/>
  <c r="AD34" i="1" s="1"/>
  <c r="AA36" i="1"/>
  <c r="AE36" i="1" s="1"/>
  <c r="Z33" i="1"/>
  <c r="AD33" i="1" s="1"/>
  <c r="AA35" i="1"/>
  <c r="AE35" i="1" s="1"/>
  <c r="Z32" i="1"/>
  <c r="AD32" i="1" s="1"/>
  <c r="AA34" i="1"/>
  <c r="AE34" i="1" s="1"/>
  <c r="AA33" i="1"/>
  <c r="AE33" i="1" s="1"/>
  <c r="J32" i="1"/>
  <c r="I29" i="1"/>
  <c r="J31" i="1"/>
  <c r="I30" i="1"/>
  <c r="I28" i="1"/>
  <c r="J30" i="1"/>
  <c r="I36" i="1"/>
  <c r="J28" i="1"/>
  <c r="I34" i="1"/>
  <c r="J36" i="1"/>
  <c r="I35" i="1"/>
  <c r="I33" i="1"/>
  <c r="J35" i="1"/>
  <c r="J29" i="1"/>
  <c r="I32" i="1"/>
  <c r="J34" i="1"/>
  <c r="I31" i="1"/>
  <c r="J33" i="1"/>
  <c r="AA20" i="1"/>
  <c r="Z17" i="1"/>
  <c r="AA19" i="1"/>
  <c r="Z18" i="1"/>
  <c r="Z16" i="1"/>
  <c r="AA18" i="1"/>
  <c r="AA15" i="1"/>
  <c r="Z15" i="1"/>
  <c r="AA17" i="1"/>
  <c r="Z23" i="1"/>
  <c r="AA16" i="1"/>
  <c r="Z22" i="1"/>
  <c r="Z21" i="1"/>
  <c r="Z20" i="1"/>
  <c r="AA22" i="1"/>
  <c r="Z19" i="1"/>
  <c r="AA21" i="1"/>
  <c r="Z3" i="1"/>
  <c r="Z2" i="1"/>
  <c r="AA4" i="1"/>
  <c r="Z10" i="1"/>
  <c r="AA3" i="1"/>
  <c r="AA2" i="1"/>
  <c r="Z8" i="1"/>
  <c r="AA10" i="1"/>
  <c r="Z7" i="1"/>
  <c r="AA9" i="1"/>
  <c r="AA6" i="1"/>
  <c r="AE6" i="1" s="1"/>
  <c r="AA5" i="1"/>
  <c r="Z6" i="1"/>
  <c r="AD6" i="1" s="1"/>
  <c r="AA8" i="1"/>
  <c r="Z9" i="1"/>
  <c r="Z5" i="1"/>
  <c r="AA7" i="1"/>
  <c r="J19" i="1"/>
  <c r="I16" i="1"/>
  <c r="I15" i="1"/>
  <c r="I23" i="1"/>
  <c r="J16" i="1"/>
  <c r="I22" i="1"/>
  <c r="J17" i="1"/>
  <c r="J15" i="1"/>
  <c r="I21" i="1"/>
  <c r="J23" i="1"/>
  <c r="I17" i="1"/>
  <c r="I20" i="1"/>
  <c r="J22" i="1"/>
  <c r="I19" i="1"/>
  <c r="J21" i="1"/>
  <c r="J18" i="1"/>
  <c r="I18" i="1"/>
  <c r="J20" i="1"/>
  <c r="L6" i="1"/>
  <c r="J10" i="1"/>
  <c r="I10" i="1"/>
  <c r="J9" i="1"/>
  <c r="I9" i="1"/>
  <c r="J8" i="1"/>
  <c r="I8" i="1"/>
  <c r="I7" i="1"/>
  <c r="J7" i="1"/>
  <c r="I6" i="1"/>
  <c r="J6" i="1"/>
  <c r="I5" i="1"/>
  <c r="J5" i="1"/>
  <c r="I4" i="1"/>
  <c r="J4" i="1"/>
  <c r="I3" i="1"/>
  <c r="J3" i="1"/>
  <c r="J2" i="1"/>
  <c r="I2" i="1"/>
  <c r="AA23" i="1" a="1"/>
  <c r="AA23" i="1" l="1"/>
  <c r="AC23" i="1"/>
  <c r="Z150" i="1" a="1"/>
  <c r="Z150" i="1" l="1"/>
  <c r="AD150" i="1" s="1"/>
  <c r="AF150" i="1" s="1"/>
  <c r="AB150" i="1"/>
  <c r="X150" i="1"/>
  <c r="AC150" i="1" s="1"/>
  <c r="AA150" i="1" a="1"/>
  <c r="AA150" i="1" l="1"/>
  <c r="AE1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<sst xmlns="http://schemas.openxmlformats.org/spreadsheetml/2006/main" count="796" uniqueCount="87">
  <si>
    <t>yoshino</t>
    <phoneticPr fontId="25"/>
  </si>
  <si>
    <t>dam</t>
    <phoneticPr fontId="25"/>
  </si>
  <si>
    <t>cool</t>
    <phoneticPr fontId="25"/>
  </si>
  <si>
    <t>bai</t>
    <phoneticPr fontId="25"/>
  </si>
  <si>
    <t>kaisu</t>
    <phoneticPr fontId="25"/>
  </si>
  <si>
    <t>attack</t>
    <phoneticPr fontId="25"/>
  </si>
  <si>
    <t>Kattack</t>
    <phoneticPr fontId="25"/>
  </si>
  <si>
    <t xml:space="preserve">defence </t>
    <phoneticPr fontId="25"/>
  </si>
  <si>
    <t>maxkai</t>
    <phoneticPr fontId="25"/>
  </si>
  <si>
    <t>sum</t>
    <phoneticPr fontId="25"/>
  </si>
  <si>
    <t>tan</t>
    <phoneticPr fontId="25"/>
  </si>
  <si>
    <t>adds</t>
    <phoneticPr fontId="25"/>
  </si>
  <si>
    <t>jizoku</t>
    <phoneticPr fontId="25"/>
  </si>
  <si>
    <t>Kdefence</t>
    <phoneticPr fontId="25"/>
  </si>
  <si>
    <t>Element</t>
    <phoneticPr fontId="25"/>
  </si>
  <si>
    <t>AElement</t>
    <phoneticPr fontId="25"/>
  </si>
  <si>
    <t>Delement</t>
    <phoneticPr fontId="25"/>
  </si>
  <si>
    <t>Ahissatu</t>
    <phoneticPr fontId="25"/>
  </si>
  <si>
    <t>Dhissatu</t>
    <phoneticPr fontId="25"/>
  </si>
  <si>
    <t>sumadds</t>
    <phoneticPr fontId="25"/>
  </si>
  <si>
    <t>tanadds</t>
    <phoneticPr fontId="25"/>
  </si>
  <si>
    <t>kaito</t>
    <phoneticPr fontId="25"/>
  </si>
  <si>
    <t>templa</t>
    <phoneticPr fontId="25"/>
  </si>
  <si>
    <t>monika</t>
    <phoneticPr fontId="25"/>
  </si>
  <si>
    <t>penny</t>
    <phoneticPr fontId="25"/>
  </si>
  <si>
    <t>yuu</t>
    <phoneticPr fontId="25"/>
  </si>
  <si>
    <t>maniya</t>
    <phoneticPr fontId="25"/>
  </si>
  <si>
    <t>sisyo</t>
    <phoneticPr fontId="25"/>
  </si>
  <si>
    <t>statuts</t>
    <phoneticPr fontId="25"/>
  </si>
  <si>
    <t>片方は回復ね</t>
    <rPh sb="0" eb="2">
      <t>カタホウ</t>
    </rPh>
    <rPh sb="3" eb="5">
      <t>カイフク</t>
    </rPh>
    <phoneticPr fontId="25"/>
  </si>
  <si>
    <t>なぞ。</t>
    <phoneticPr fontId="25"/>
  </si>
  <si>
    <t>わからん</t>
    <phoneticPr fontId="25"/>
  </si>
  <si>
    <t>addsがダメージ</t>
    <phoneticPr fontId="25"/>
  </si>
  <si>
    <t>tutitukumo</t>
    <phoneticPr fontId="25"/>
  </si>
  <si>
    <t>toAll</t>
    <phoneticPr fontId="25"/>
  </si>
  <si>
    <t>Heal</t>
    <phoneticPr fontId="25"/>
  </si>
  <si>
    <t>heal</t>
    <phoneticPr fontId="25"/>
  </si>
  <si>
    <t>template</t>
    <phoneticPr fontId="25"/>
  </si>
  <si>
    <t>jotto</t>
    <phoneticPr fontId="25"/>
  </si>
  <si>
    <t>kyugu</t>
    <phoneticPr fontId="25"/>
  </si>
  <si>
    <t>bipus</t>
    <phoneticPr fontId="25"/>
  </si>
  <si>
    <t>era</t>
    <phoneticPr fontId="25"/>
  </si>
  <si>
    <t>jakusu</t>
    <phoneticPr fontId="25"/>
  </si>
  <si>
    <t>hyokaitukumo</t>
    <phoneticPr fontId="25"/>
  </si>
  <si>
    <t>kumotukumo</t>
    <phoneticPr fontId="25"/>
  </si>
  <si>
    <t>bones</t>
    <phoneticPr fontId="25"/>
  </si>
  <si>
    <t>gattaiwaza</t>
    <phoneticPr fontId="25"/>
  </si>
  <si>
    <t>adds2</t>
    <phoneticPr fontId="25"/>
  </si>
  <si>
    <t>sumadds2</t>
    <phoneticPr fontId="25"/>
  </si>
  <si>
    <t>tanadds2</t>
    <phoneticPr fontId="25"/>
  </si>
  <si>
    <t>YsAn</t>
    <phoneticPr fontId="25"/>
  </si>
  <si>
    <t>KaSi</t>
    <phoneticPr fontId="25"/>
  </si>
  <si>
    <t>PeJi</t>
    <phoneticPr fontId="25"/>
  </si>
  <si>
    <t>MoGi</t>
    <phoneticPr fontId="25"/>
  </si>
  <si>
    <t>JiEr</t>
    <phoneticPr fontId="25"/>
  </si>
  <si>
    <t>JaVa</t>
    <phoneticPr fontId="25"/>
  </si>
  <si>
    <t>GiHa</t>
    <phoneticPr fontId="25"/>
  </si>
  <si>
    <t>SiKa</t>
    <phoneticPr fontId="25"/>
  </si>
  <si>
    <t>YuHu</t>
    <phoneticPr fontId="25"/>
  </si>
  <si>
    <t>MaKa</t>
    <phoneticPr fontId="25"/>
  </si>
  <si>
    <t>VaYu</t>
    <phoneticPr fontId="25"/>
  </si>
  <si>
    <t>HoJa</t>
    <phoneticPr fontId="25"/>
  </si>
  <si>
    <t>HaYo</t>
    <phoneticPr fontId="25"/>
  </si>
  <si>
    <t>ErMo</t>
    <phoneticPr fontId="25"/>
  </si>
  <si>
    <t>ReMa</t>
    <phoneticPr fontId="25"/>
  </si>
  <si>
    <t>AnPe</t>
    <phoneticPr fontId="25"/>
  </si>
  <si>
    <t>KaHo</t>
    <phoneticPr fontId="25"/>
  </si>
  <si>
    <t>anna</t>
    <phoneticPr fontId="25"/>
  </si>
  <si>
    <t>bukitukumo</t>
    <phoneticPr fontId="25"/>
  </si>
  <si>
    <t>Blade</t>
    <phoneticPr fontId="25"/>
  </si>
  <si>
    <t>Chukrum</t>
    <phoneticPr fontId="25"/>
  </si>
  <si>
    <t>Arrow</t>
    <phoneticPr fontId="25"/>
  </si>
  <si>
    <t>Shield</t>
    <phoneticPr fontId="25"/>
  </si>
  <si>
    <t>homuratukumo</t>
    <phoneticPr fontId="25"/>
  </si>
  <si>
    <t>daitinokyojin</t>
    <phoneticPr fontId="25"/>
  </si>
  <si>
    <t>denkitukumo</t>
    <phoneticPr fontId="25"/>
  </si>
  <si>
    <t>toall</t>
    <phoneticPr fontId="25"/>
  </si>
  <si>
    <t>suraiku</t>
    <phoneticPr fontId="25"/>
  </si>
  <si>
    <t>kurotukumo</t>
    <phoneticPr fontId="25"/>
  </si>
  <si>
    <t>hyouganoryuu</t>
    <phoneticPr fontId="25"/>
  </si>
  <si>
    <t>HIKOU</t>
    <phoneticPr fontId="25"/>
  </si>
  <si>
    <t>hikarinohakaisya</t>
    <phoneticPr fontId="25"/>
  </si>
  <si>
    <t>tim</t>
    <phoneticPr fontId="25"/>
  </si>
  <si>
    <t>kasandora</t>
    <phoneticPr fontId="25"/>
  </si>
  <si>
    <t>bitar</t>
    <phoneticPr fontId="25"/>
  </si>
  <si>
    <t>bibinba</t>
    <phoneticPr fontId="25"/>
  </si>
  <si>
    <t>to all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</si>
</sst>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u/>
      <sz val="11"/>
      <color theme="1"/>
      <name val="Yu Gothic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</borders>
  <cellStyleXfs count="8">
    <xf numFmtId="0" fontId="0" fillId="0" borderId="0"/>
    <xf numFmtId="0" fontId="26" fillId="2" borderId="2" applyNumberFormat="0" applyFont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2" borderId="2" xfId="1" applyFont="1" applyAlignment="1"/>
    <xf numFmtId="0" fontId="24" fillId="6" borderId="0" xfId="5" applyAlignment="1"/>
    <xf numFmtId="0" fontId="24" fillId="8" borderId="0" xfId="7" applyAlignment="1"/>
    <xf numFmtId="0" fontId="24" fillId="4" borderId="2" xfId="3" applyBorder="1" applyAlignment="1"/>
    <xf numFmtId="0" fontId="24" fillId="3" borderId="1" xfId="2" applyBorder="1" applyAlignment="1"/>
    <xf numFmtId="0" fontId="24" fillId="3" borderId="2" xfId="2" applyBorder="1" applyAlignment="1"/>
    <xf numFmtId="0" fontId="24" fillId="4" borderId="0" xfId="3" applyAlignment="1"/>
    <xf numFmtId="0" fontId="24" fillId="3" borderId="0" xfId="2" applyAlignment="1"/>
    <xf numFmtId="0" fontId="24" fillId="3" borderId="3" xfId="2" applyBorder="1" applyAlignment="1"/>
    <xf numFmtId="0" fontId="0" fillId="2" borderId="4" xfId="1" applyFont="1" applyBorder="1" applyAlignment="1"/>
    <xf numFmtId="0" fontId="24" fillId="7" borderId="0" xfId="6" applyAlignment="1"/>
    <xf numFmtId="0" fontId="27" fillId="3" borderId="1" xfId="2" applyFont="1" applyBorder="1" applyAlignment="1"/>
    <xf numFmtId="0" fontId="24" fillId="5" borderId="0" xfId="4" applyAlignment="1"/>
    <xf numFmtId="0" fontId="24" fillId="4" borderId="5" xfId="3" applyBorder="1" applyAlignment="1"/>
    <xf numFmtId="0" fontId="24" fillId="4" borderId="4" xfId="3" applyBorder="1" applyAlignment="1"/>
    <xf numFmtId="0" fontId="23" fillId="3" borderId="2" xfId="2" applyFont="1" applyBorder="1" applyAlignment="1"/>
    <xf numFmtId="0" fontId="22" fillId="3" borderId="2" xfId="2" applyFont="1" applyBorder="1" applyAlignment="1"/>
    <xf numFmtId="0" fontId="21" fillId="7" borderId="0" xfId="6" applyFont="1" applyAlignment="1"/>
    <xf numFmtId="0" fontId="20" fillId="3" borderId="2" xfId="2" applyFont="1" applyBorder="1" applyAlignment="1"/>
    <xf numFmtId="0" fontId="19" fillId="3" borderId="2" xfId="2" applyFont="1" applyBorder="1" applyAlignment="1"/>
    <xf numFmtId="0" fontId="18" fillId="3" borderId="2" xfId="2" applyFont="1" applyBorder="1" applyAlignment="1"/>
    <xf numFmtId="0" fontId="17" fillId="3" borderId="2" xfId="2" applyFont="1" applyBorder="1" applyAlignment="1"/>
    <xf numFmtId="0" fontId="16" fillId="3" borderId="2" xfId="2" applyFont="1" applyBorder="1" applyAlignment="1"/>
    <xf numFmtId="0" fontId="15" fillId="3" borderId="1" xfId="2" applyFont="1" applyBorder="1" applyAlignment="1"/>
    <xf numFmtId="0" fontId="15" fillId="4" borderId="2" xfId="3" applyFont="1" applyBorder="1" applyAlignment="1"/>
    <xf numFmtId="0" fontId="14" fillId="3" borderId="2" xfId="2" applyFont="1" applyBorder="1" applyAlignment="1"/>
    <xf numFmtId="0" fontId="13" fillId="3" borderId="2" xfId="2" applyFont="1" applyBorder="1" applyAlignment="1"/>
    <xf numFmtId="0" fontId="12" fillId="3" borderId="1" xfId="2" applyFont="1" applyBorder="1" applyAlignment="1"/>
    <xf numFmtId="0" fontId="11" fillId="3" borderId="2" xfId="2" applyFont="1" applyBorder="1" applyAlignment="1"/>
    <xf numFmtId="0" fontId="10" fillId="3" borderId="2" xfId="2" applyFont="1" applyBorder="1" applyAlignment="1"/>
    <xf numFmtId="0" fontId="9" fillId="3" borderId="2" xfId="2" applyFont="1" applyBorder="1" applyAlignment="1"/>
    <xf numFmtId="0" fontId="8" fillId="3" borderId="2" xfId="2" applyFont="1" applyBorder="1" applyAlignment="1"/>
    <xf numFmtId="0" fontId="7" fillId="3" borderId="2" xfId="2" applyFont="1" applyBorder="1" applyAlignment="1"/>
    <xf numFmtId="0" fontId="6" fillId="3" borderId="2" xfId="2" applyFont="1" applyBorder="1" applyAlignment="1"/>
    <xf numFmtId="0" fontId="5" fillId="3" borderId="2" xfId="2" applyFont="1" applyBorder="1" applyAlignment="1"/>
    <xf numFmtId="0" fontId="4" fillId="3" borderId="2" xfId="2" applyFont="1" applyBorder="1" applyAlignment="1"/>
    <xf numFmtId="0" fontId="3" fillId="3" borderId="2" xfId="2" applyFont="1" applyBorder="1" applyAlignment="1"/>
    <xf numFmtId="0" fontId="2" fillId="3" borderId="2" xfId="2" applyFont="1" applyBorder="1" applyAlignment="1"/>
    <xf numFmtId="0" fontId="1" fillId="3" borderId="2" xfId="2" applyFont="1" applyBorder="1" applyAlignment="1"/>
  </cellXfs>
  <cellStyles count="8">
    <cellStyle name="20% - アクセント 5" xfId="5" builtinId="46"/>
    <cellStyle name="20% - アクセント 6" xfId="7" builtinId="50"/>
    <cellStyle name="40% - アクセント 2" xfId="2" builtinId="35"/>
    <cellStyle name="40% - アクセント 4" xfId="3" builtinId="43"/>
    <cellStyle name="60% - アクセント 4" xfId="4" builtinId="44"/>
    <cellStyle name="60% - アクセント 5" xfId="6" builtinId="48"/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34"/>
  <sheetViews>
    <sheetView tabSelected="1" topLeftCell="O192" zoomScale="85" zoomScaleNormal="85" workbookViewId="0">
      <selection activeCell="V197" sqref="V197"/>
    </sheetView>
  </sheetViews>
  <sheetFormatPr defaultRowHeight="18"/>
  <sheetData>
    <row r="1" spans="1:50">
      <c r="A1" s="5" t="s">
        <v>0</v>
      </c>
      <c r="B1" s="4" t="s">
        <v>12</v>
      </c>
      <c r="C1" s="4" t="s">
        <v>2</v>
      </c>
      <c r="D1" s="4" t="s">
        <v>1</v>
      </c>
      <c r="E1" s="4" t="s">
        <v>3</v>
      </c>
      <c r="F1" s="4" t="s">
        <v>4</v>
      </c>
      <c r="G1" s="4" t="s">
        <v>8</v>
      </c>
      <c r="H1" s="4" t="s">
        <v>11</v>
      </c>
      <c r="I1" s="4" t="s">
        <v>9</v>
      </c>
      <c r="J1" s="4" t="s">
        <v>10</v>
      </c>
      <c r="K1" s="4" t="s">
        <v>19</v>
      </c>
      <c r="L1" s="4" t="s">
        <v>20</v>
      </c>
      <c r="R1" s="6" t="s">
        <v>22</v>
      </c>
      <c r="S1" s="4" t="s">
        <v>12</v>
      </c>
      <c r="T1" s="4" t="s">
        <v>2</v>
      </c>
      <c r="U1" s="4" t="s">
        <v>1</v>
      </c>
      <c r="V1" s="4" t="s">
        <v>3</v>
      </c>
      <c r="W1" s="4" t="s">
        <v>4</v>
      </c>
      <c r="X1" s="4" t="s">
        <v>8</v>
      </c>
      <c r="Y1" s="4" t="s">
        <v>11</v>
      </c>
      <c r="Z1" s="4" t="s">
        <v>9</v>
      </c>
      <c r="AA1" s="4" t="s">
        <v>10</v>
      </c>
      <c r="AB1" s="4" t="s">
        <v>19</v>
      </c>
      <c r="AC1" s="4" t="s">
        <v>20</v>
      </c>
      <c r="AJ1" s="24" t="s">
        <v>46</v>
      </c>
      <c r="AK1" s="4" t="s">
        <v>12</v>
      </c>
      <c r="AL1" s="4" t="s">
        <v>2</v>
      </c>
      <c r="AM1" s="4" t="s">
        <v>1</v>
      </c>
      <c r="AN1" s="4" t="s">
        <v>3</v>
      </c>
      <c r="AO1" s="4" t="s">
        <v>4</v>
      </c>
      <c r="AP1" s="4" t="s">
        <v>8</v>
      </c>
      <c r="AQ1" s="4" t="s">
        <v>11</v>
      </c>
      <c r="AR1" s="15" t="s">
        <v>47</v>
      </c>
      <c r="AS1" s="4" t="s">
        <v>9</v>
      </c>
      <c r="AT1" s="4" t="s">
        <v>10</v>
      </c>
      <c r="AU1" s="4" t="s">
        <v>19</v>
      </c>
      <c r="AV1" s="4" t="s">
        <v>20</v>
      </c>
      <c r="AW1" s="25" t="s">
        <v>48</v>
      </c>
      <c r="AX1" s="25" t="s">
        <v>49</v>
      </c>
    </row>
    <row r="2" spans="1:50">
      <c r="A2" s="5" t="s">
        <v>5</v>
      </c>
      <c r="B2" s="1">
        <v>1</v>
      </c>
      <c r="C2" s="1">
        <v>1</v>
      </c>
      <c r="D2" s="1">
        <v>50</v>
      </c>
      <c r="E2" s="1">
        <v>1</v>
      </c>
      <c r="F2" s="1">
        <v>1.2</v>
      </c>
      <c r="G2" s="1">
        <f t="shared" ref="G2:G10" si="0">MIN(B2/C2,F2)</f>
        <v>1</v>
      </c>
      <c r="H2" s="1">
        <v>0</v>
      </c>
      <c r="I2" s="2" cm="1">
        <f t="array" ref="I2">SPDAM(D2,E2,F2)</f>
        <v>60</v>
      </c>
      <c r="J2" s="3" cm="1">
        <f t="array" ref="J2">SPDAM(D2,E2,G2)</f>
        <v>50</v>
      </c>
      <c r="K2" s="2">
        <f t="shared" ref="K2:K10" si="1">F2*H2</f>
        <v>0</v>
      </c>
      <c r="L2" s="3">
        <f t="shared" ref="L2:L10" si="2">G2*H2</f>
        <v>0</v>
      </c>
      <c r="R2" s="5" t="s">
        <v>5</v>
      </c>
      <c r="S2" s="1">
        <v>1</v>
      </c>
      <c r="T2" s="1">
        <v>1</v>
      </c>
      <c r="U2" s="1">
        <v>0</v>
      </c>
      <c r="V2" s="1">
        <v>1</v>
      </c>
      <c r="W2" s="1">
        <v>1</v>
      </c>
      <c r="X2" s="1">
        <f t="shared" ref="X2:X10" si="3">MIN(S2/T2,W2)</f>
        <v>1</v>
      </c>
      <c r="Y2" s="1">
        <v>0</v>
      </c>
      <c r="Z2" s="2" cm="1">
        <f t="array" ref="Z2">SPDAM(U2,V2,W2)</f>
        <v>0</v>
      </c>
      <c r="AA2" s="3" cm="1">
        <f t="array" ref="AA2">SPDAM(U2,V2,X2)</f>
        <v>0</v>
      </c>
      <c r="AB2" s="2">
        <f t="shared" ref="AB2:AB10" si="4">W2*Y2</f>
        <v>0</v>
      </c>
      <c r="AC2" s="3">
        <f t="shared" ref="AC2:AC10" si="5">X2*Y2</f>
        <v>0</v>
      </c>
      <c r="AJ2" s="24" t="s">
        <v>50</v>
      </c>
      <c r="AK2" s="1">
        <v>1</v>
      </c>
      <c r="AL2" s="1">
        <v>1</v>
      </c>
      <c r="AM2" s="1">
        <v>75</v>
      </c>
      <c r="AN2" s="1">
        <v>0.5</v>
      </c>
      <c r="AO2" s="1">
        <v>2.5</v>
      </c>
      <c r="AP2" s="1">
        <f t="shared" ref="AP2:AP3" si="6">MIN(AK2/AL2,AO2)</f>
        <v>1</v>
      </c>
      <c r="AQ2" s="1">
        <v>0</v>
      </c>
      <c r="AR2" s="1">
        <v>0</v>
      </c>
      <c r="AS2" s="2" cm="1">
        <f t="array" ref="AS2">SPDAM(AM2,AN2,AO2)</f>
        <v>123.48349570550447</v>
      </c>
      <c r="AT2" s="3" cm="1">
        <f t="array" ref="AT2">SPDAM(AM2,AN2,AP2)</f>
        <v>75</v>
      </c>
      <c r="AU2" s="2">
        <f t="shared" ref="AU2" si="7">AO2*AQ2</f>
        <v>0</v>
      </c>
      <c r="AV2" s="3">
        <f t="shared" ref="AV2" si="8">AP2*AQ2</f>
        <v>0</v>
      </c>
      <c r="AW2" s="2">
        <f>AR2*AP2</f>
        <v>0</v>
      </c>
      <c r="AX2" s="3">
        <f t="shared" ref="AX2" si="9">AR2*AS2</f>
        <v>0</v>
      </c>
    </row>
    <row r="3" spans="1:50">
      <c r="A3" s="5" t="s">
        <v>6</v>
      </c>
      <c r="B3" s="1">
        <v>1</v>
      </c>
      <c r="C3" s="1">
        <v>1</v>
      </c>
      <c r="D3" s="1">
        <v>75</v>
      </c>
      <c r="E3" s="1">
        <v>1</v>
      </c>
      <c r="F3" s="1">
        <v>1.2</v>
      </c>
      <c r="G3" s="1">
        <f t="shared" si="0"/>
        <v>1</v>
      </c>
      <c r="H3" s="1">
        <v>0</v>
      </c>
      <c r="I3" s="2" cm="1">
        <f t="array" ref="I3">SPDAM(D3,E3,F3)</f>
        <v>90</v>
      </c>
      <c r="J3" s="3" cm="1">
        <f t="array" ref="J3">SPDAM(D3,E3,G3)</f>
        <v>75</v>
      </c>
      <c r="K3" s="2">
        <f t="shared" si="1"/>
        <v>0</v>
      </c>
      <c r="L3" s="3">
        <f t="shared" si="2"/>
        <v>0</v>
      </c>
      <c r="R3" s="5" t="s">
        <v>6</v>
      </c>
      <c r="S3" s="1">
        <v>1</v>
      </c>
      <c r="T3" s="1">
        <v>1</v>
      </c>
      <c r="U3" s="1">
        <v>0</v>
      </c>
      <c r="V3" s="1">
        <v>1</v>
      </c>
      <c r="W3" s="1">
        <v>1</v>
      </c>
      <c r="X3" s="1">
        <f t="shared" si="3"/>
        <v>1</v>
      </c>
      <c r="Y3" s="1">
        <v>0</v>
      </c>
      <c r="Z3" s="2" cm="1">
        <f t="array" ref="Z3">SPDAM(U3,V3,W3)</f>
        <v>0</v>
      </c>
      <c r="AA3" s="3" cm="1">
        <f t="array" ref="AA3">SPDAM(U3,V3,X3)</f>
        <v>0</v>
      </c>
      <c r="AB3" s="2">
        <f t="shared" si="4"/>
        <v>0</v>
      </c>
      <c r="AC3" s="3">
        <f t="shared" si="5"/>
        <v>0</v>
      </c>
      <c r="AJ3" s="24" t="s">
        <v>50</v>
      </c>
      <c r="AK3" s="1">
        <v>1</v>
      </c>
      <c r="AL3" s="1">
        <v>1</v>
      </c>
      <c r="AM3" s="1">
        <v>66</v>
      </c>
      <c r="AN3" s="1">
        <v>0.7</v>
      </c>
      <c r="AO3" s="1">
        <v>3</v>
      </c>
      <c r="AP3" s="1">
        <f t="shared" si="6"/>
        <v>1</v>
      </c>
      <c r="AQ3" s="1">
        <f>0.12*2</f>
        <v>0.24</v>
      </c>
      <c r="AR3" s="1">
        <v>0</v>
      </c>
      <c r="AS3" s="2" cm="1">
        <f t="array" ref="AS3">SPDAM(AM3,AN3,AO3)</f>
        <v>144.54000000000002</v>
      </c>
      <c r="AT3" s="3" cm="1">
        <f t="array" ref="AT3">SPDAM(AM3,AN3,AP3)</f>
        <v>66</v>
      </c>
      <c r="AU3" s="2">
        <f t="shared" ref="AU3:AU29" si="10">AO3*AQ3</f>
        <v>0.72</v>
      </c>
      <c r="AV3" s="3">
        <f t="shared" ref="AV3:AV29" si="11">AP3*AQ3</f>
        <v>0.24</v>
      </c>
      <c r="AW3" s="2">
        <f t="shared" ref="AW3:AW29" si="12">AR3*AP3</f>
        <v>0</v>
      </c>
      <c r="AX3" s="3">
        <f t="shared" ref="AX3:AX29" si="13">AR3*AS3</f>
        <v>0</v>
      </c>
    </row>
    <row r="4" spans="1:50">
      <c r="A4" s="5" t="s">
        <v>7</v>
      </c>
      <c r="B4" s="1">
        <v>1</v>
      </c>
      <c r="C4" s="1">
        <v>1</v>
      </c>
      <c r="D4" s="1">
        <v>40</v>
      </c>
      <c r="E4" s="1">
        <v>1</v>
      </c>
      <c r="F4" s="1">
        <v>1</v>
      </c>
      <c r="G4" s="1">
        <f t="shared" si="0"/>
        <v>1</v>
      </c>
      <c r="H4" s="1">
        <v>0</v>
      </c>
      <c r="I4" s="2" cm="1">
        <f t="array" ref="I4">SPDAM(D4,E4,F4)</f>
        <v>40</v>
      </c>
      <c r="J4" s="3" cm="1">
        <f t="array" ref="J4">SPDAM(D4,E4,G4)</f>
        <v>40</v>
      </c>
      <c r="K4" s="2">
        <f t="shared" si="1"/>
        <v>0</v>
      </c>
      <c r="L4" s="3">
        <f t="shared" si="2"/>
        <v>0</v>
      </c>
      <c r="R4" s="5" t="s">
        <v>7</v>
      </c>
      <c r="S4" s="1">
        <v>1</v>
      </c>
      <c r="T4" s="1">
        <v>1</v>
      </c>
      <c r="U4" s="1">
        <v>0</v>
      </c>
      <c r="V4" s="1">
        <v>1</v>
      </c>
      <c r="W4" s="1">
        <v>1</v>
      </c>
      <c r="X4" s="1">
        <f t="shared" si="3"/>
        <v>1</v>
      </c>
      <c r="Y4" s="1">
        <v>0</v>
      </c>
      <c r="Z4" s="2" cm="1">
        <f t="array" ref="Z4">SPDAM(U4,V4,W4)</f>
        <v>0</v>
      </c>
      <c r="AA4" s="3" cm="1">
        <f t="array" ref="AA4">SPDAM(U4,V4,X4)</f>
        <v>0</v>
      </c>
      <c r="AB4" s="2">
        <f t="shared" si="4"/>
        <v>0</v>
      </c>
      <c r="AC4" s="3">
        <f t="shared" si="5"/>
        <v>0</v>
      </c>
      <c r="AD4" s="11">
        <v>0</v>
      </c>
      <c r="AJ4" s="24" t="s">
        <v>51</v>
      </c>
      <c r="AK4" s="1">
        <v>25</v>
      </c>
      <c r="AL4" s="1">
        <f>7+5.25</f>
        <v>12.25</v>
      </c>
      <c r="AM4" s="1">
        <f>40*2</f>
        <v>80</v>
      </c>
      <c r="AN4" s="1">
        <v>0.6</v>
      </c>
      <c r="AO4" s="1">
        <v>3.5</v>
      </c>
      <c r="AP4" s="1">
        <f t="shared" ref="AP4:AP11" si="14">MIN(AK4/AL4,AO4)</f>
        <v>2.0408163265306123</v>
      </c>
      <c r="AQ4" s="1">
        <f>0.1*2</f>
        <v>0.2</v>
      </c>
      <c r="AR4" s="1">
        <v>0</v>
      </c>
      <c r="AS4" s="2" cm="1">
        <f t="array" ref="AS4">SPDAM(AM4,AN4,AO4)</f>
        <v>166.53742388876793</v>
      </c>
      <c r="AT4" s="3" cm="1">
        <f t="array" ref="AT4">SPDAM(AM4,AN4,AP4)</f>
        <v>129.48565998825813</v>
      </c>
      <c r="AU4" s="2">
        <f t="shared" si="10"/>
        <v>0.70000000000000007</v>
      </c>
      <c r="AV4" s="3">
        <f t="shared" si="11"/>
        <v>0.40816326530612246</v>
      </c>
      <c r="AW4" s="2">
        <f t="shared" si="12"/>
        <v>0</v>
      </c>
      <c r="AX4" s="3">
        <f t="shared" si="13"/>
        <v>0</v>
      </c>
    </row>
    <row r="5" spans="1:50">
      <c r="A5" s="5" t="s">
        <v>13</v>
      </c>
      <c r="B5" s="1">
        <v>80</v>
      </c>
      <c r="C5" s="1">
        <v>7</v>
      </c>
      <c r="D5" s="1">
        <v>10</v>
      </c>
      <c r="E5" s="1">
        <v>0.95</v>
      </c>
      <c r="F5" s="1">
        <v>48</v>
      </c>
      <c r="G5" s="1">
        <f t="shared" si="0"/>
        <v>11.428571428571429</v>
      </c>
      <c r="H5" s="1">
        <v>0</v>
      </c>
      <c r="I5" s="2" cm="1">
        <f t="array" ref="I5">SPDAM(D5,E5,F5)</f>
        <v>182.94848193313823</v>
      </c>
      <c r="J5" s="3" cm="1">
        <f t="array" ref="J5">SPDAM(D5,E5,G5)</f>
        <v>88.713463196557768</v>
      </c>
      <c r="K5" s="2">
        <f t="shared" si="1"/>
        <v>0</v>
      </c>
      <c r="L5" s="3">
        <f t="shared" si="2"/>
        <v>0</v>
      </c>
      <c r="R5" s="5" t="s">
        <v>13</v>
      </c>
      <c r="S5" s="1">
        <v>1</v>
      </c>
      <c r="T5" s="1">
        <v>1</v>
      </c>
      <c r="U5" s="1">
        <v>0</v>
      </c>
      <c r="V5" s="1">
        <v>1</v>
      </c>
      <c r="W5" s="1">
        <v>1</v>
      </c>
      <c r="X5" s="1">
        <f t="shared" si="3"/>
        <v>1</v>
      </c>
      <c r="Y5" s="1">
        <v>0</v>
      </c>
      <c r="Z5" s="2" cm="1">
        <f t="array" ref="Z5">SPDAM(U5,V5,W5)</f>
        <v>0</v>
      </c>
      <c r="AA5" s="3" cm="1">
        <f t="array" ref="AA5">SPDAM(U5,V5,X5)</f>
        <v>0</v>
      </c>
      <c r="AB5" s="2">
        <f t="shared" si="4"/>
        <v>0</v>
      </c>
      <c r="AC5" s="3">
        <f t="shared" si="5"/>
        <v>0</v>
      </c>
      <c r="AD5" s="11">
        <v>0</v>
      </c>
      <c r="AJ5" s="24" t="s">
        <v>52</v>
      </c>
      <c r="AK5" s="1">
        <v>1</v>
      </c>
      <c r="AL5" s="1">
        <v>1</v>
      </c>
      <c r="AM5" s="1">
        <v>40</v>
      </c>
      <c r="AN5" s="1">
        <v>1</v>
      </c>
      <c r="AO5" s="1">
        <v>1</v>
      </c>
      <c r="AP5" s="1">
        <f t="shared" si="14"/>
        <v>1</v>
      </c>
      <c r="AQ5" s="1">
        <v>0</v>
      </c>
      <c r="AR5" s="1">
        <v>0</v>
      </c>
      <c r="AS5" s="2" cm="1">
        <f t="array" ref="AS5">SPDAM(AM5,AN5,AO5)</f>
        <v>40</v>
      </c>
      <c r="AT5" s="3" cm="1">
        <f t="array" ref="AT5">SPDAM(AM5,AN5,AP5)</f>
        <v>40</v>
      </c>
      <c r="AU5" s="2">
        <f t="shared" si="10"/>
        <v>0</v>
      </c>
      <c r="AV5" s="3">
        <f t="shared" si="11"/>
        <v>0</v>
      </c>
      <c r="AW5" s="2">
        <f t="shared" si="12"/>
        <v>0</v>
      </c>
      <c r="AX5" s="3">
        <f t="shared" si="13"/>
        <v>0</v>
      </c>
    </row>
    <row r="6" spans="1:50">
      <c r="A6" s="5" t="s">
        <v>14</v>
      </c>
      <c r="B6" s="1">
        <v>100</v>
      </c>
      <c r="C6" s="1">
        <v>20</v>
      </c>
      <c r="D6" s="1">
        <v>15</v>
      </c>
      <c r="E6" s="1">
        <v>0.9</v>
      </c>
      <c r="F6" s="1">
        <v>6</v>
      </c>
      <c r="G6" s="1">
        <f t="shared" si="0"/>
        <v>5</v>
      </c>
      <c r="H6" s="1">
        <f>0.08*3</f>
        <v>0.24</v>
      </c>
      <c r="I6" s="2" cm="1">
        <f t="array" ref="I6">SPDAM(D6,E6,F6)</f>
        <v>70.283850000000001</v>
      </c>
      <c r="J6" s="3" cm="1">
        <f t="array" ref="J6">SPDAM(D6,E6,G6)</f>
        <v>61.426500000000004</v>
      </c>
      <c r="K6" s="2">
        <f t="shared" si="1"/>
        <v>1.44</v>
      </c>
      <c r="L6" s="3">
        <f t="shared" si="2"/>
        <v>1.2</v>
      </c>
      <c r="R6" s="5" t="s">
        <v>14</v>
      </c>
      <c r="S6" s="1">
        <v>1</v>
      </c>
      <c r="T6" s="1">
        <v>1</v>
      </c>
      <c r="U6" s="1">
        <v>0</v>
      </c>
      <c r="V6" s="1">
        <v>1</v>
      </c>
      <c r="W6" s="1">
        <v>1</v>
      </c>
      <c r="X6" s="1">
        <f t="shared" si="3"/>
        <v>1</v>
      </c>
      <c r="Y6" s="1">
        <v>0</v>
      </c>
      <c r="Z6" s="2" cm="1">
        <f t="array" ref="Z6">SPDAM(U6,V6,W6)</f>
        <v>0</v>
      </c>
      <c r="AA6" s="3" cm="1">
        <f t="array" ref="AA6">SPDAM(U6,V6,X6)</f>
        <v>0</v>
      </c>
      <c r="AB6" s="2">
        <f t="shared" si="4"/>
        <v>0</v>
      </c>
      <c r="AC6" s="3">
        <f t="shared" si="5"/>
        <v>0</v>
      </c>
      <c r="AD6" s="2">
        <f>Z6+AB6</f>
        <v>0</v>
      </c>
      <c r="AE6" s="3">
        <f>AA6+AC6</f>
        <v>0</v>
      </c>
      <c r="AF6">
        <v>1</v>
      </c>
      <c r="AJ6" s="24" t="s">
        <v>53</v>
      </c>
      <c r="AK6" s="1">
        <v>80</v>
      </c>
      <c r="AL6" s="1">
        <v>7</v>
      </c>
      <c r="AM6" s="1">
        <v>10</v>
      </c>
      <c r="AN6" s="1">
        <v>0.95</v>
      </c>
      <c r="AO6" s="1">
        <v>48</v>
      </c>
      <c r="AP6" s="1">
        <f t="shared" si="14"/>
        <v>11.428571428571429</v>
      </c>
      <c r="AQ6" s="1">
        <v>0</v>
      </c>
      <c r="AR6" s="1">
        <v>0</v>
      </c>
      <c r="AS6" s="2" cm="1">
        <f t="array" ref="AS6">SPDAM(AM6,AN6,AO6)</f>
        <v>182.94848193313823</v>
      </c>
      <c r="AT6" s="3" cm="1">
        <f t="array" ref="AT6">SPDAM(AM6,AN6,AP6)</f>
        <v>88.713463196557768</v>
      </c>
      <c r="AU6" s="2">
        <f t="shared" si="10"/>
        <v>0</v>
      </c>
      <c r="AV6" s="3">
        <f t="shared" si="11"/>
        <v>0</v>
      </c>
      <c r="AW6" s="2">
        <f t="shared" si="12"/>
        <v>0</v>
      </c>
      <c r="AX6" s="3">
        <f t="shared" si="13"/>
        <v>0</v>
      </c>
    </row>
    <row r="7" spans="1:50">
      <c r="A7" s="5" t="s">
        <v>15</v>
      </c>
      <c r="B7" s="1">
        <v>1</v>
      </c>
      <c r="C7" s="1">
        <v>1</v>
      </c>
      <c r="D7" s="1">
        <v>87.5</v>
      </c>
      <c r="E7" s="1">
        <v>0.6</v>
      </c>
      <c r="F7" s="1">
        <v>3</v>
      </c>
      <c r="G7" s="1">
        <f t="shared" si="0"/>
        <v>1</v>
      </c>
      <c r="H7" s="1">
        <f>0.16*2</f>
        <v>0.32</v>
      </c>
      <c r="I7" s="2" cm="1">
        <f t="array" ref="I7">SPDAM(D7,E7,F7)</f>
        <v>171.5</v>
      </c>
      <c r="J7" s="3" cm="1">
        <f t="array" ref="J7">SPDAM(D7,E7,G7)</f>
        <v>87.5</v>
      </c>
      <c r="K7" s="2">
        <f t="shared" si="1"/>
        <v>0.96</v>
      </c>
      <c r="L7" s="3">
        <f t="shared" si="2"/>
        <v>0.32</v>
      </c>
      <c r="R7" s="5" t="s">
        <v>15</v>
      </c>
      <c r="S7" s="1">
        <v>1</v>
      </c>
      <c r="T7" s="1">
        <v>1</v>
      </c>
      <c r="U7" s="1">
        <v>0</v>
      </c>
      <c r="V7" s="1">
        <v>1</v>
      </c>
      <c r="W7" s="1">
        <v>1</v>
      </c>
      <c r="X7" s="1">
        <f t="shared" si="3"/>
        <v>1</v>
      </c>
      <c r="Y7" s="1">
        <v>0</v>
      </c>
      <c r="Z7" s="2" cm="1">
        <f t="array" ref="Z7">SPDAM(U7,V7,W7)</f>
        <v>0</v>
      </c>
      <c r="AA7" s="3" cm="1">
        <f t="array" ref="AA7">SPDAM(U7,V7,X7)</f>
        <v>0</v>
      </c>
      <c r="AB7" s="2">
        <f t="shared" si="4"/>
        <v>0</v>
      </c>
      <c r="AC7" s="3">
        <f t="shared" si="5"/>
        <v>0</v>
      </c>
      <c r="AJ7" s="24" t="s">
        <v>54</v>
      </c>
      <c r="AK7" s="1">
        <v>100</v>
      </c>
      <c r="AL7" s="1">
        <v>20</v>
      </c>
      <c r="AM7" s="1">
        <v>15</v>
      </c>
      <c r="AN7" s="1">
        <v>0.9</v>
      </c>
      <c r="AO7" s="1">
        <v>6</v>
      </c>
      <c r="AP7" s="1">
        <f t="shared" si="14"/>
        <v>5</v>
      </c>
      <c r="AQ7" s="1">
        <f>0.08*3</f>
        <v>0.24</v>
      </c>
      <c r="AR7" s="1">
        <v>0</v>
      </c>
      <c r="AS7" s="2" cm="1">
        <f t="array" ref="AS7">SPDAM(AM7,AN7,AO7)</f>
        <v>70.283850000000001</v>
      </c>
      <c r="AT7" s="3" cm="1">
        <f t="array" ref="AT7">SPDAM(AM7,AN7,AP7)</f>
        <v>61.426500000000004</v>
      </c>
      <c r="AU7" s="2">
        <f t="shared" si="10"/>
        <v>1.44</v>
      </c>
      <c r="AV7" s="3">
        <f t="shared" si="11"/>
        <v>1.2</v>
      </c>
      <c r="AW7" s="2">
        <f t="shared" si="12"/>
        <v>0</v>
      </c>
      <c r="AX7" s="3">
        <f t="shared" si="13"/>
        <v>0</v>
      </c>
    </row>
    <row r="8" spans="1:50">
      <c r="A8" s="5" t="s">
        <v>16</v>
      </c>
      <c r="B8" s="1">
        <v>1</v>
      </c>
      <c r="C8" s="1">
        <v>1</v>
      </c>
      <c r="D8" s="1">
        <v>55</v>
      </c>
      <c r="E8" s="1">
        <v>1</v>
      </c>
      <c r="F8" s="1">
        <v>6</v>
      </c>
      <c r="G8" s="1">
        <f t="shared" si="0"/>
        <v>1</v>
      </c>
      <c r="H8" s="1">
        <f>0.25*3</f>
        <v>0.75</v>
      </c>
      <c r="I8" s="2" cm="1">
        <f t="array" ref="I8">SPDAM(D8,E8,F8)</f>
        <v>330</v>
      </c>
      <c r="J8" s="3" cm="1">
        <f t="array" ref="J8">SPDAM(D8,E8,G8)</f>
        <v>55</v>
      </c>
      <c r="K8" s="2">
        <f t="shared" si="1"/>
        <v>4.5</v>
      </c>
      <c r="L8" s="3">
        <f t="shared" si="2"/>
        <v>0.75</v>
      </c>
      <c r="R8" s="5" t="s">
        <v>16</v>
      </c>
      <c r="S8" s="1">
        <v>1</v>
      </c>
      <c r="T8" s="1">
        <v>1</v>
      </c>
      <c r="U8" s="1">
        <v>0</v>
      </c>
      <c r="V8" s="1">
        <v>1</v>
      </c>
      <c r="W8" s="1">
        <v>1</v>
      </c>
      <c r="X8" s="1">
        <f t="shared" si="3"/>
        <v>1</v>
      </c>
      <c r="Y8" s="1">
        <v>0</v>
      </c>
      <c r="Z8" s="2" cm="1">
        <f t="array" ref="Z8">SPDAM(U8,V8,W8)</f>
        <v>0</v>
      </c>
      <c r="AA8" s="3" cm="1">
        <f t="array" ref="AA8">SPDAM(U8,V8,X8)</f>
        <v>0</v>
      </c>
      <c r="AB8" s="2">
        <f t="shared" si="4"/>
        <v>0</v>
      </c>
      <c r="AC8" s="3">
        <f t="shared" si="5"/>
        <v>0</v>
      </c>
      <c r="AD8" s="11">
        <v>0</v>
      </c>
      <c r="AJ8" s="24" t="s">
        <v>55</v>
      </c>
      <c r="AK8" s="1">
        <v>1</v>
      </c>
      <c r="AL8" s="1">
        <v>1</v>
      </c>
      <c r="AM8" s="1">
        <v>87.5</v>
      </c>
      <c r="AN8" s="1">
        <v>0.6</v>
      </c>
      <c r="AO8" s="1">
        <v>3</v>
      </c>
      <c r="AP8" s="1">
        <f t="shared" si="14"/>
        <v>1</v>
      </c>
      <c r="AQ8" s="1">
        <f>0.16*2</f>
        <v>0.32</v>
      </c>
      <c r="AR8" s="1">
        <v>0</v>
      </c>
      <c r="AS8" s="2" cm="1">
        <f t="array" ref="AS8">SPDAM(AM8,AN8,AO8)</f>
        <v>171.5</v>
      </c>
      <c r="AT8" s="3" cm="1">
        <f t="array" ref="AT8">SPDAM(AM8,AN8,AP8)</f>
        <v>87.5</v>
      </c>
      <c r="AU8" s="2">
        <f t="shared" si="10"/>
        <v>0.96</v>
      </c>
      <c r="AV8" s="3">
        <f t="shared" si="11"/>
        <v>0.32</v>
      </c>
      <c r="AW8" s="2">
        <f t="shared" si="12"/>
        <v>0</v>
      </c>
      <c r="AX8" s="3">
        <f t="shared" si="13"/>
        <v>0</v>
      </c>
    </row>
    <row r="9" spans="1:50">
      <c r="A9" s="5" t="s">
        <v>17</v>
      </c>
      <c r="B9" s="1">
        <v>1</v>
      </c>
      <c r="C9" s="1">
        <v>1</v>
      </c>
      <c r="D9" s="1">
        <v>130</v>
      </c>
      <c r="E9" s="1">
        <v>0.9</v>
      </c>
      <c r="F9" s="1">
        <v>4</v>
      </c>
      <c r="G9" s="1">
        <f t="shared" si="0"/>
        <v>1</v>
      </c>
      <c r="H9" s="1">
        <f>0.35*2</f>
        <v>0.7</v>
      </c>
      <c r="I9" s="2" cm="1">
        <f t="array" ref="I9">SPDAM(D9,E9,F9)</f>
        <v>447.07000000000005</v>
      </c>
      <c r="J9" s="3" cm="1">
        <f t="array" ref="J9">SPDAM(D9,E9,G9)</f>
        <v>130</v>
      </c>
      <c r="K9" s="2">
        <f t="shared" si="1"/>
        <v>2.8</v>
      </c>
      <c r="L9" s="3">
        <f t="shared" si="2"/>
        <v>0.7</v>
      </c>
      <c r="R9" s="5" t="s">
        <v>17</v>
      </c>
      <c r="S9" s="1">
        <v>1</v>
      </c>
      <c r="T9" s="1">
        <v>1</v>
      </c>
      <c r="U9" s="1">
        <v>0</v>
      </c>
      <c r="V9" s="1">
        <v>1</v>
      </c>
      <c r="W9" s="1">
        <v>1</v>
      </c>
      <c r="X9" s="1">
        <f t="shared" si="3"/>
        <v>1</v>
      </c>
      <c r="Y9" s="1">
        <v>0</v>
      </c>
      <c r="Z9" s="2" cm="1">
        <f t="array" ref="Z9">SPDAM(U9,V9,W9)</f>
        <v>0</v>
      </c>
      <c r="AA9" s="3" cm="1">
        <f t="array" ref="AA9">SPDAM(U9,V9,X9)</f>
        <v>0</v>
      </c>
      <c r="AB9" s="2">
        <f t="shared" si="4"/>
        <v>0</v>
      </c>
      <c r="AC9" s="3">
        <f t="shared" si="5"/>
        <v>0</v>
      </c>
      <c r="AD9" s="11">
        <v>0</v>
      </c>
      <c r="AJ9" s="24" t="s">
        <v>56</v>
      </c>
      <c r="AK9" s="1">
        <v>1</v>
      </c>
      <c r="AL9" s="1">
        <v>1</v>
      </c>
      <c r="AM9" s="1">
        <v>55</v>
      </c>
      <c r="AN9" s="1">
        <v>1</v>
      </c>
      <c r="AO9" s="1">
        <v>6</v>
      </c>
      <c r="AP9" s="1">
        <f t="shared" si="14"/>
        <v>1</v>
      </c>
      <c r="AQ9" s="1">
        <f>0.25*3</f>
        <v>0.75</v>
      </c>
      <c r="AR9" s="1">
        <v>0</v>
      </c>
      <c r="AS9" s="2" cm="1">
        <f t="array" ref="AS9">SPDAM(AM9,AN9,AO9)</f>
        <v>330</v>
      </c>
      <c r="AT9" s="3" cm="1">
        <f t="array" ref="AT9">SPDAM(AM9,AN9,AP9)</f>
        <v>55</v>
      </c>
      <c r="AU9" s="2">
        <f t="shared" si="10"/>
        <v>4.5</v>
      </c>
      <c r="AV9" s="3">
        <f t="shared" si="11"/>
        <v>0.75</v>
      </c>
      <c r="AW9" s="2">
        <f t="shared" si="12"/>
        <v>0</v>
      </c>
      <c r="AX9" s="3">
        <f t="shared" si="13"/>
        <v>0</v>
      </c>
    </row>
    <row r="10" spans="1:50">
      <c r="A10" s="5" t="s">
        <v>18</v>
      </c>
      <c r="B10" s="1">
        <v>1</v>
      </c>
      <c r="C10" s="1">
        <v>1</v>
      </c>
      <c r="D10" s="1">
        <v>95</v>
      </c>
      <c r="E10" s="1">
        <v>0.95</v>
      </c>
      <c r="F10" s="1">
        <v>6</v>
      </c>
      <c r="G10" s="1">
        <f t="shared" si="0"/>
        <v>1</v>
      </c>
      <c r="H10" s="1">
        <f>0.5*2</f>
        <v>1</v>
      </c>
      <c r="I10" s="2" cm="1">
        <f t="array" ref="I10">SPDAM(D10,E10,F10)</f>
        <v>503.32540781249986</v>
      </c>
      <c r="J10" s="3" cm="1">
        <f t="array" ref="J10">SPDAM(D10,E10,G10)</f>
        <v>95</v>
      </c>
      <c r="K10" s="2">
        <f t="shared" si="1"/>
        <v>6</v>
      </c>
      <c r="L10" s="3">
        <f t="shared" si="2"/>
        <v>1</v>
      </c>
      <c r="R10" s="5" t="s">
        <v>18</v>
      </c>
      <c r="S10" s="1">
        <v>1</v>
      </c>
      <c r="T10" s="1">
        <v>1</v>
      </c>
      <c r="U10" s="1">
        <v>0</v>
      </c>
      <c r="V10" s="1">
        <v>1</v>
      </c>
      <c r="W10" s="1">
        <v>1</v>
      </c>
      <c r="X10" s="1">
        <f t="shared" si="3"/>
        <v>1</v>
      </c>
      <c r="Y10" s="1">
        <v>0</v>
      </c>
      <c r="Z10" s="2" cm="1">
        <f t="array" ref="Z10">SPDAM(U10,V10,W10)</f>
        <v>0</v>
      </c>
      <c r="AA10" s="3" cm="1">
        <f t="array" ref="AA10">SPDAM(U10,V10,X10)</f>
        <v>0</v>
      </c>
      <c r="AB10" s="2">
        <f t="shared" si="4"/>
        <v>0</v>
      </c>
      <c r="AC10" s="3">
        <f t="shared" si="5"/>
        <v>0</v>
      </c>
      <c r="AJ10" s="24" t="s">
        <v>57</v>
      </c>
      <c r="AK10" s="1">
        <v>1</v>
      </c>
      <c r="AL10" s="1">
        <v>1</v>
      </c>
      <c r="AM10" s="1">
        <v>130</v>
      </c>
      <c r="AN10" s="1">
        <v>0.9</v>
      </c>
      <c r="AO10" s="1">
        <v>4</v>
      </c>
      <c r="AP10" s="1">
        <f t="shared" si="14"/>
        <v>1</v>
      </c>
      <c r="AQ10" s="1">
        <f>0.35*2</f>
        <v>0.7</v>
      </c>
      <c r="AR10" s="1">
        <v>0</v>
      </c>
      <c r="AS10" s="2" cm="1">
        <f t="array" ref="AS10">SPDAM(AM10,AN10,AO10)</f>
        <v>447.07000000000005</v>
      </c>
      <c r="AT10" s="3" cm="1">
        <f t="array" ref="AT10">SPDAM(AM10,AN10,AP10)</f>
        <v>130</v>
      </c>
      <c r="AU10" s="2">
        <f t="shared" si="10"/>
        <v>2.8</v>
      </c>
      <c r="AV10" s="3">
        <f t="shared" si="11"/>
        <v>0.7</v>
      </c>
      <c r="AW10" s="2">
        <f t="shared" si="12"/>
        <v>0</v>
      </c>
      <c r="AX10" s="3">
        <f t="shared" si="13"/>
        <v>0</v>
      </c>
    </row>
    <row r="11" spans="1:50">
      <c r="A11" s="9" t="s">
        <v>28</v>
      </c>
      <c r="B11" s="10">
        <v>1000</v>
      </c>
      <c r="C11" s="10">
        <v>2</v>
      </c>
      <c r="D11" s="10"/>
      <c r="E11" s="10">
        <v>1.1000000000000001</v>
      </c>
      <c r="F11" s="10">
        <v>1.2</v>
      </c>
      <c r="G11" s="10">
        <v>1.1000000000000001</v>
      </c>
      <c r="H11" s="10"/>
      <c r="I11" s="2"/>
      <c r="J11" s="3"/>
      <c r="K11" s="2"/>
      <c r="L11" s="3"/>
      <c r="R11" s="9" t="s">
        <v>28</v>
      </c>
      <c r="S11" s="10">
        <v>0</v>
      </c>
      <c r="T11" s="10">
        <v>0</v>
      </c>
      <c r="U11" s="10"/>
      <c r="V11" s="10">
        <v>0</v>
      </c>
      <c r="W11" s="10">
        <v>0</v>
      </c>
      <c r="X11" s="10">
        <v>0</v>
      </c>
      <c r="Y11" s="10"/>
      <c r="Z11" s="2"/>
      <c r="AA11" s="3"/>
      <c r="AB11" s="2"/>
      <c r="AC11" s="3"/>
      <c r="AJ11" s="24" t="s">
        <v>58</v>
      </c>
      <c r="AK11" s="1">
        <v>1</v>
      </c>
      <c r="AL11" s="1">
        <v>1</v>
      </c>
      <c r="AM11" s="1">
        <v>95</v>
      </c>
      <c r="AN11" s="1">
        <v>0.95</v>
      </c>
      <c r="AO11" s="1">
        <v>6</v>
      </c>
      <c r="AP11" s="1">
        <f t="shared" si="14"/>
        <v>1</v>
      </c>
      <c r="AQ11" s="1">
        <f>0.5*2</f>
        <v>1</v>
      </c>
      <c r="AR11" s="1">
        <v>0</v>
      </c>
      <c r="AS11" s="2" cm="1">
        <f t="array" ref="AS11">SPDAM(AM11,AN11,AO11)</f>
        <v>503.32540781249986</v>
      </c>
      <c r="AT11" s="3" cm="1">
        <f t="array" ref="AT11">SPDAM(AM11,AN11,AP11)</f>
        <v>95</v>
      </c>
      <c r="AU11" s="2">
        <f t="shared" si="10"/>
        <v>6</v>
      </c>
      <c r="AV11" s="3">
        <f t="shared" si="11"/>
        <v>1</v>
      </c>
      <c r="AW11" s="2">
        <f t="shared" si="12"/>
        <v>0</v>
      </c>
      <c r="AX11" s="3">
        <f t="shared" si="13"/>
        <v>0</v>
      </c>
    </row>
    <row r="12" spans="1:50">
      <c r="AJ12" s="24" t="s">
        <v>59</v>
      </c>
      <c r="AK12" s="1">
        <v>1</v>
      </c>
      <c r="AL12" s="1">
        <v>1</v>
      </c>
      <c r="AM12" s="1">
        <f>14*4</f>
        <v>56</v>
      </c>
      <c r="AN12" s="1">
        <v>1</v>
      </c>
      <c r="AO12" s="1">
        <v>1</v>
      </c>
      <c r="AP12" s="1">
        <f t="shared" ref="AP12:AP29" si="15">MIN(AK12/AL12,AO12)</f>
        <v>1</v>
      </c>
      <c r="AQ12" s="1">
        <f>0.025*4</f>
        <v>0.1</v>
      </c>
      <c r="AR12" s="1"/>
      <c r="AS12" s="2" cm="1">
        <f t="array" ref="AS12">SPDAM(AM12,AN12,AO12)</f>
        <v>56</v>
      </c>
      <c r="AT12" s="3" cm="1">
        <f t="array" ref="AT12">SPDAM(AM12,AN12,AP12)</f>
        <v>56</v>
      </c>
      <c r="AU12" s="2">
        <f t="shared" si="10"/>
        <v>0.1</v>
      </c>
      <c r="AV12" s="3">
        <f t="shared" si="11"/>
        <v>0.1</v>
      </c>
      <c r="AW12" s="2">
        <f t="shared" si="12"/>
        <v>0</v>
      </c>
      <c r="AX12" s="3">
        <f t="shared" si="13"/>
        <v>0</v>
      </c>
    </row>
    <row r="13" spans="1:50">
      <c r="AJ13" s="24" t="s">
        <v>59</v>
      </c>
      <c r="AK13" s="1">
        <v>1</v>
      </c>
      <c r="AL13" s="1">
        <v>1</v>
      </c>
      <c r="AM13" s="1">
        <f>33*2</f>
        <v>66</v>
      </c>
      <c r="AN13" s="1">
        <v>1</v>
      </c>
      <c r="AO13" s="1">
        <v>1.5</v>
      </c>
      <c r="AP13" s="1">
        <f t="shared" ref="AP13" si="16">MIN(AK13/AL13,AO13)</f>
        <v>1</v>
      </c>
      <c r="AQ13" s="1">
        <v>0</v>
      </c>
      <c r="AR13" s="1">
        <v>0</v>
      </c>
      <c r="AS13" s="2" cm="1">
        <f t="array" ref="AS13">SPDAM(AM13,AN13,AO13)</f>
        <v>99</v>
      </c>
      <c r="AT13" s="3" cm="1">
        <f t="array" ref="AT13">SPDAM(AM13,AN13,AP13)</f>
        <v>66</v>
      </c>
      <c r="AU13" s="2">
        <f t="shared" si="10"/>
        <v>0</v>
      </c>
      <c r="AV13" s="3">
        <f t="shared" si="11"/>
        <v>0</v>
      </c>
      <c r="AW13" s="2">
        <f t="shared" si="12"/>
        <v>0</v>
      </c>
      <c r="AX13" s="3">
        <f t="shared" si="13"/>
        <v>0</v>
      </c>
    </row>
    <row r="14" spans="1:50">
      <c r="A14" s="8" t="s">
        <v>21</v>
      </c>
      <c r="B14" s="7" t="s">
        <v>12</v>
      </c>
      <c r="C14" s="7" t="s">
        <v>2</v>
      </c>
      <c r="D14" s="7" t="s">
        <v>1</v>
      </c>
      <c r="E14" s="7" t="s">
        <v>3</v>
      </c>
      <c r="F14" s="7" t="s">
        <v>4</v>
      </c>
      <c r="G14" s="7" t="s">
        <v>8</v>
      </c>
      <c r="H14" s="7" t="s">
        <v>11</v>
      </c>
      <c r="I14" s="7" t="s">
        <v>9</v>
      </c>
      <c r="J14" s="7" t="s">
        <v>10</v>
      </c>
      <c r="K14" s="7" t="s">
        <v>19</v>
      </c>
      <c r="L14" s="7" t="s">
        <v>20</v>
      </c>
      <c r="R14" s="6" t="s">
        <v>23</v>
      </c>
      <c r="S14" s="4" t="s">
        <v>12</v>
      </c>
      <c r="T14" s="4" t="s">
        <v>2</v>
      </c>
      <c r="U14" s="4" t="s">
        <v>1</v>
      </c>
      <c r="V14" s="4" t="s">
        <v>3</v>
      </c>
      <c r="W14" s="4" t="s">
        <v>4</v>
      </c>
      <c r="X14" s="4" t="s">
        <v>8</v>
      </c>
      <c r="Y14" s="4" t="s">
        <v>11</v>
      </c>
      <c r="Z14" s="4" t="s">
        <v>9</v>
      </c>
      <c r="AA14" s="4" t="s">
        <v>10</v>
      </c>
      <c r="AB14" s="4" t="s">
        <v>19</v>
      </c>
      <c r="AC14" s="4" t="s">
        <v>20</v>
      </c>
      <c r="AJ14" s="24" t="s">
        <v>60</v>
      </c>
      <c r="AK14" s="1">
        <v>1</v>
      </c>
      <c r="AL14" s="1">
        <v>1</v>
      </c>
      <c r="AM14" s="1">
        <v>75</v>
      </c>
      <c r="AN14" s="1">
        <v>1</v>
      </c>
      <c r="AO14" s="1">
        <v>1.2</v>
      </c>
      <c r="AP14" s="1">
        <f>MIN(AK14/AL14,AO14)</f>
        <v>1</v>
      </c>
      <c r="AQ14" s="1">
        <v>0</v>
      </c>
      <c r="AR14" s="1">
        <v>0</v>
      </c>
      <c r="AS14" s="2" cm="1">
        <f t="array" ref="AS14">SPDAM(AM14,AN14,AO14)</f>
        <v>90</v>
      </c>
      <c r="AT14" s="3" cm="1">
        <f t="array" ref="AT14">SPDAM(AM14,AN14,AP14)</f>
        <v>75</v>
      </c>
      <c r="AU14" s="2">
        <f t="shared" si="10"/>
        <v>0</v>
      </c>
      <c r="AV14" s="3">
        <f t="shared" si="11"/>
        <v>0</v>
      </c>
      <c r="AW14" s="2">
        <f t="shared" si="12"/>
        <v>0</v>
      </c>
      <c r="AX14" s="3">
        <f t="shared" si="13"/>
        <v>0</v>
      </c>
    </row>
    <row r="15" spans="1:50">
      <c r="A15" s="8" t="s">
        <v>5</v>
      </c>
      <c r="B15" s="1">
        <v>3</v>
      </c>
      <c r="C15" s="1">
        <v>1</v>
      </c>
      <c r="D15" s="1">
        <v>20</v>
      </c>
      <c r="E15" s="1">
        <v>1</v>
      </c>
      <c r="F15" s="1">
        <v>3</v>
      </c>
      <c r="G15" s="1">
        <f t="shared" ref="G15:G23" si="17">MIN(B15/C15,F15)</f>
        <v>3</v>
      </c>
      <c r="H15" s="1">
        <v>0</v>
      </c>
      <c r="I15" s="2" cm="1">
        <f t="array" ref="I15">SPDAM(D15,E15,F15)</f>
        <v>60</v>
      </c>
      <c r="J15" s="3" cm="1">
        <f t="array" ref="J15">SPDAM(D15,E15,G15)</f>
        <v>60</v>
      </c>
      <c r="K15" s="2">
        <f t="shared" ref="K15:K23" si="18">F15*H15</f>
        <v>0</v>
      </c>
      <c r="L15" s="3">
        <f t="shared" ref="L15:L23" si="19">G15*H15</f>
        <v>0</v>
      </c>
      <c r="R15" s="5" t="s">
        <v>5</v>
      </c>
      <c r="S15" s="1">
        <v>5</v>
      </c>
      <c r="T15" s="1">
        <v>1</v>
      </c>
      <c r="U15" s="1">
        <v>12</v>
      </c>
      <c r="V15" s="1">
        <v>1</v>
      </c>
      <c r="W15" s="1">
        <v>5</v>
      </c>
      <c r="X15" s="1">
        <f>MIN(S15/T15,W15)</f>
        <v>5</v>
      </c>
      <c r="Y15" s="1">
        <v>0</v>
      </c>
      <c r="Z15" s="2" cm="1">
        <f t="array" ref="Z15">SPDAM(U15,V15,W15)</f>
        <v>60</v>
      </c>
      <c r="AA15" s="3" cm="1">
        <f t="array" ref="AA15">SPDAM(U15,V15,X15)</f>
        <v>60</v>
      </c>
      <c r="AB15" s="2">
        <f t="shared" ref="AB15:AB23" si="20">W15*Y15</f>
        <v>0</v>
      </c>
      <c r="AC15" s="3">
        <f t="shared" ref="AC15:AC23" si="21">X15*Y15</f>
        <v>0</v>
      </c>
      <c r="AJ15" s="24" t="s">
        <v>61</v>
      </c>
      <c r="AK15" s="1">
        <v>1</v>
      </c>
      <c r="AL15" s="1">
        <v>1</v>
      </c>
      <c r="AM15" s="1">
        <v>40</v>
      </c>
      <c r="AN15" s="1">
        <v>1</v>
      </c>
      <c r="AO15" s="1">
        <v>1</v>
      </c>
      <c r="AP15" s="1">
        <f>MIN(AK15/AL15,AO15)</f>
        <v>1</v>
      </c>
      <c r="AQ15" s="1">
        <v>0</v>
      </c>
      <c r="AR15" s="1">
        <v>0</v>
      </c>
      <c r="AS15" s="2" cm="1">
        <f t="array" ref="AS15">SPDAM(AM15,AN15,AO15)</f>
        <v>40</v>
      </c>
      <c r="AT15" s="3" cm="1">
        <f t="array" ref="AT15">SPDAM(AM15,AN15,AP15)</f>
        <v>40</v>
      </c>
      <c r="AU15" s="2">
        <f t="shared" si="10"/>
        <v>0</v>
      </c>
      <c r="AV15" s="3">
        <f t="shared" si="11"/>
        <v>0</v>
      </c>
      <c r="AW15" s="2">
        <f t="shared" si="12"/>
        <v>0</v>
      </c>
      <c r="AX15" s="3">
        <f t="shared" si="13"/>
        <v>0</v>
      </c>
    </row>
    <row r="16" spans="1:50">
      <c r="A16" s="8" t="s">
        <v>6</v>
      </c>
      <c r="B16" s="1">
        <v>4</v>
      </c>
      <c r="C16" s="1">
        <v>1</v>
      </c>
      <c r="D16" s="1">
        <v>21.5</v>
      </c>
      <c r="E16" s="1">
        <v>1</v>
      </c>
      <c r="F16" s="1">
        <v>4</v>
      </c>
      <c r="G16" s="1">
        <f t="shared" si="17"/>
        <v>4</v>
      </c>
      <c r="H16" s="1">
        <v>0</v>
      </c>
      <c r="I16" s="2" cm="1">
        <f t="array" ref="I16">SPDAM(D16,E16,F16)</f>
        <v>86</v>
      </c>
      <c r="J16" s="3" cm="1">
        <f t="array" ref="J16">SPDAM(D16,E16,G16)</f>
        <v>86</v>
      </c>
      <c r="K16" s="2">
        <f t="shared" si="18"/>
        <v>0</v>
      </c>
      <c r="L16" s="3">
        <f t="shared" si="19"/>
        <v>0</v>
      </c>
      <c r="R16" s="5" t="s">
        <v>6</v>
      </c>
      <c r="S16" s="1">
        <v>9</v>
      </c>
      <c r="T16" s="1">
        <v>1</v>
      </c>
      <c r="U16" s="1">
        <v>10</v>
      </c>
      <c r="V16" s="1">
        <v>1</v>
      </c>
      <c r="W16" s="1">
        <v>9</v>
      </c>
      <c r="X16" s="1">
        <f>MIN(S16/T16,W16)</f>
        <v>9</v>
      </c>
      <c r="Y16" s="1">
        <v>0</v>
      </c>
      <c r="Z16" s="2" cm="1">
        <f t="array" ref="Z16">SPDAM(U16,V16,W16)</f>
        <v>90</v>
      </c>
      <c r="AA16" s="3" cm="1">
        <f t="array" ref="AA16">SPDAM(U16,V16,X16)</f>
        <v>90</v>
      </c>
      <c r="AB16" s="2">
        <f t="shared" si="20"/>
        <v>0</v>
      </c>
      <c r="AC16" s="3">
        <f t="shared" si="21"/>
        <v>0</v>
      </c>
      <c r="AJ16" s="24" t="s">
        <v>62</v>
      </c>
      <c r="AK16" s="1">
        <v>80</v>
      </c>
      <c r="AL16" s="1">
        <v>7</v>
      </c>
      <c r="AM16" s="1">
        <v>10</v>
      </c>
      <c r="AN16" s="1">
        <v>0.95</v>
      </c>
      <c r="AO16" s="1">
        <v>48</v>
      </c>
      <c r="AP16" s="1">
        <f>MIN(AK16/AL16,AO16)</f>
        <v>11.428571428571429</v>
      </c>
      <c r="AQ16" s="1">
        <v>0</v>
      </c>
      <c r="AR16" s="1">
        <v>0</v>
      </c>
      <c r="AS16" s="2" cm="1">
        <f t="array" ref="AS16">SPDAM(AM16,AN16,AO16)</f>
        <v>182.94848193313823</v>
      </c>
      <c r="AT16" s="3" cm="1">
        <f t="array" ref="AT16">SPDAM(AM16,AN16,AP16)</f>
        <v>88.713463196557768</v>
      </c>
      <c r="AU16" s="2">
        <f t="shared" si="10"/>
        <v>0</v>
      </c>
      <c r="AV16" s="3">
        <f t="shared" si="11"/>
        <v>0</v>
      </c>
      <c r="AW16" s="2">
        <f t="shared" si="12"/>
        <v>0</v>
      </c>
      <c r="AX16" s="3">
        <f t="shared" si="13"/>
        <v>0</v>
      </c>
    </row>
    <row r="17" spans="1:50">
      <c r="A17" s="8" t="s">
        <v>7</v>
      </c>
      <c r="B17" s="1">
        <v>1</v>
      </c>
      <c r="C17" s="1">
        <v>1</v>
      </c>
      <c r="D17" s="1">
        <v>0</v>
      </c>
      <c r="E17" s="1">
        <v>1</v>
      </c>
      <c r="F17" s="1">
        <v>1</v>
      </c>
      <c r="G17" s="1">
        <f t="shared" si="17"/>
        <v>1</v>
      </c>
      <c r="H17" s="1">
        <v>0</v>
      </c>
      <c r="I17" s="2" cm="1">
        <f t="array" ref="I17">SPDAM(D17,E17,F17)</f>
        <v>0</v>
      </c>
      <c r="J17" s="3" cm="1">
        <f t="array" ref="J17">SPDAM(D17,E17,G17)</f>
        <v>0</v>
      </c>
      <c r="K17" s="2">
        <f t="shared" si="18"/>
        <v>0</v>
      </c>
      <c r="L17" s="3">
        <f t="shared" si="19"/>
        <v>0</v>
      </c>
      <c r="R17" s="5" t="s">
        <v>7</v>
      </c>
      <c r="S17" s="1">
        <v>3</v>
      </c>
      <c r="T17" s="1">
        <v>1</v>
      </c>
      <c r="U17" s="1">
        <v>16.7</v>
      </c>
      <c r="V17" s="1">
        <v>1</v>
      </c>
      <c r="W17" s="1">
        <v>3</v>
      </c>
      <c r="X17" s="1">
        <f>MIN(S17/T17,W17)</f>
        <v>3</v>
      </c>
      <c r="Y17" s="1">
        <v>0</v>
      </c>
      <c r="Z17" s="2" cm="1">
        <f t="array" ref="Z17">SPDAM(U17,V17,W17)</f>
        <v>50.099999999999994</v>
      </c>
      <c r="AA17" s="3" cm="1">
        <f t="array" ref="AA17">SPDAM(U17,V17,X17)</f>
        <v>50.099999999999994</v>
      </c>
      <c r="AB17" s="2">
        <f t="shared" si="20"/>
        <v>0</v>
      </c>
      <c r="AC17" s="3">
        <f t="shared" si="21"/>
        <v>0</v>
      </c>
      <c r="AJ17" s="24" t="s">
        <v>63</v>
      </c>
      <c r="AK17" s="1">
        <v>6</v>
      </c>
      <c r="AL17" s="1">
        <v>1</v>
      </c>
      <c r="AM17" s="1">
        <v>13</v>
      </c>
      <c r="AN17" s="1">
        <v>1</v>
      </c>
      <c r="AO17" s="1">
        <v>6</v>
      </c>
      <c r="AP17" s="1">
        <f>MIN(AK17/AL17,AO17)</f>
        <v>6</v>
      </c>
      <c r="AQ17" s="1">
        <v>0</v>
      </c>
      <c r="AR17" s="1">
        <v>0</v>
      </c>
      <c r="AS17" s="2" cm="1">
        <f t="array" ref="AS17">SPDAM(AM17,AN17,AO17)</f>
        <v>78</v>
      </c>
      <c r="AT17" s="3" cm="1">
        <f t="array" ref="AT17">SPDAM(AM17,AN17,AP17)</f>
        <v>78</v>
      </c>
      <c r="AU17" s="2">
        <f t="shared" si="10"/>
        <v>0</v>
      </c>
      <c r="AV17" s="3">
        <f t="shared" si="11"/>
        <v>0</v>
      </c>
      <c r="AW17" s="2">
        <f t="shared" si="12"/>
        <v>0</v>
      </c>
      <c r="AX17" s="3">
        <f t="shared" si="13"/>
        <v>0</v>
      </c>
    </row>
    <row r="18" spans="1:50">
      <c r="A18" s="8" t="s">
        <v>13</v>
      </c>
      <c r="B18" s="1">
        <v>1</v>
      </c>
      <c r="C18" s="1">
        <v>1</v>
      </c>
      <c r="D18" s="1">
        <v>120</v>
      </c>
      <c r="E18" s="1">
        <v>1</v>
      </c>
      <c r="F18" s="1">
        <v>1</v>
      </c>
      <c r="G18" s="1">
        <f t="shared" si="17"/>
        <v>1</v>
      </c>
      <c r="H18" s="1">
        <v>0</v>
      </c>
      <c r="I18" s="2" cm="1">
        <f t="array" ref="I18">SPDAM(D18,E18,F18)</f>
        <v>120</v>
      </c>
      <c r="J18" s="3" cm="1">
        <f t="array" ref="J18">SPDAM(D18,E18,G18)</f>
        <v>120</v>
      </c>
      <c r="K18" s="2">
        <f t="shared" si="18"/>
        <v>0</v>
      </c>
      <c r="L18" s="3">
        <f t="shared" si="19"/>
        <v>0</v>
      </c>
      <c r="R18" s="5" t="s">
        <v>13</v>
      </c>
      <c r="S18" s="1">
        <v>20</v>
      </c>
      <c r="T18" s="1">
        <v>1</v>
      </c>
      <c r="U18" s="1">
        <v>8</v>
      </c>
      <c r="V18" s="1">
        <v>1</v>
      </c>
      <c r="W18" s="1">
        <v>20</v>
      </c>
      <c r="X18" s="1">
        <f>MIN(S18/T18,W18)</f>
        <v>20</v>
      </c>
      <c r="Y18" s="1">
        <v>0</v>
      </c>
      <c r="Z18" s="2" cm="1">
        <f t="array" ref="Z18">SPDAM(U18,V18,W18)</f>
        <v>160</v>
      </c>
      <c r="AA18" s="3" cm="1">
        <f t="array" ref="AA18">SPDAM(U18,V18,X18)</f>
        <v>160</v>
      </c>
      <c r="AB18" s="2">
        <f t="shared" si="20"/>
        <v>0</v>
      </c>
      <c r="AC18" s="3">
        <f t="shared" si="21"/>
        <v>0</v>
      </c>
      <c r="AJ18" s="24" t="s">
        <v>63</v>
      </c>
      <c r="AK18" s="1">
        <v>1</v>
      </c>
      <c r="AL18" s="1">
        <v>1</v>
      </c>
      <c r="AM18" s="1">
        <v>60</v>
      </c>
      <c r="AN18" s="1">
        <v>0.75</v>
      </c>
      <c r="AO18" s="1">
        <v>3.5</v>
      </c>
      <c r="AP18" s="1">
        <f t="shared" ref="AP18" si="22">MIN(AK18/AL18,AO18)</f>
        <v>1</v>
      </c>
      <c r="AQ18" s="1">
        <v>0</v>
      </c>
      <c r="AR18" s="1">
        <v>0</v>
      </c>
      <c r="AS18" s="2" cm="1">
        <f t="array" ref="AS18">SPDAM(AM18,AN18,AO18)</f>
        <v>152.3149278668256</v>
      </c>
      <c r="AT18" s="3" cm="1">
        <f t="array" ref="AT18">SPDAM(AM18,AN18,AP18)</f>
        <v>60</v>
      </c>
      <c r="AU18" s="2">
        <f t="shared" si="10"/>
        <v>0</v>
      </c>
      <c r="AV18" s="3">
        <f t="shared" si="11"/>
        <v>0</v>
      </c>
      <c r="AW18" s="2">
        <f t="shared" si="12"/>
        <v>0</v>
      </c>
      <c r="AX18" s="3">
        <f t="shared" si="13"/>
        <v>0</v>
      </c>
    </row>
    <row r="19" spans="1:50">
      <c r="A19" s="8" t="s">
        <v>14</v>
      </c>
      <c r="B19" s="1">
        <v>240</v>
      </c>
      <c r="C19" s="1">
        <v>40</v>
      </c>
      <c r="D19" s="1">
        <v>10</v>
      </c>
      <c r="E19" s="1">
        <v>0.9</v>
      </c>
      <c r="F19" s="1">
        <v>6</v>
      </c>
      <c r="G19" s="1">
        <f t="shared" si="17"/>
        <v>6</v>
      </c>
      <c r="H19" s="1">
        <v>0.02</v>
      </c>
      <c r="I19" s="2" cm="1">
        <f t="array" ref="I19">SPDAM(D19,E19,F19)</f>
        <v>46.855900000000005</v>
      </c>
      <c r="J19" s="3" cm="1">
        <f t="array" ref="J19">SPDAM(D19,E19,G19)</f>
        <v>46.855900000000005</v>
      </c>
      <c r="K19" s="2">
        <f t="shared" si="18"/>
        <v>0.12</v>
      </c>
      <c r="L19" s="3">
        <f t="shared" si="19"/>
        <v>0.12</v>
      </c>
      <c r="R19" s="5" t="s">
        <v>14</v>
      </c>
      <c r="S19" s="1">
        <v>1</v>
      </c>
      <c r="T19" s="1">
        <v>1</v>
      </c>
      <c r="U19" s="1">
        <v>0</v>
      </c>
      <c r="V19" s="1">
        <v>1</v>
      </c>
      <c r="W19" s="1">
        <v>1</v>
      </c>
      <c r="X19" s="1">
        <f t="shared" ref="X19:X23" si="23">MIN(S19/T19,W19)</f>
        <v>1</v>
      </c>
      <c r="Y19" s="1">
        <v>1</v>
      </c>
      <c r="Z19" s="2" cm="1">
        <f t="array" ref="Z19">SPDAM(U19,V19,W19)</f>
        <v>0</v>
      </c>
      <c r="AA19" s="3" cm="1">
        <f t="array" ref="AA19">SPDAM(U19,V19,X19)</f>
        <v>0</v>
      </c>
      <c r="AB19" s="2">
        <f t="shared" si="20"/>
        <v>1</v>
      </c>
      <c r="AC19" s="3">
        <f t="shared" si="21"/>
        <v>1</v>
      </c>
      <c r="AJ19" s="24" t="s">
        <v>64</v>
      </c>
      <c r="AK19" s="1">
        <v>1</v>
      </c>
      <c r="AL19" s="1">
        <v>1</v>
      </c>
      <c r="AM19" s="1">
        <v>55</v>
      </c>
      <c r="AN19" s="1">
        <v>1</v>
      </c>
      <c r="AO19" s="1">
        <v>6</v>
      </c>
      <c r="AP19" s="1">
        <f>MIN(AK19/AL19,AO19)</f>
        <v>1</v>
      </c>
      <c r="AQ19" s="1">
        <f>0.25*3</f>
        <v>0.75</v>
      </c>
      <c r="AR19" s="1">
        <v>0</v>
      </c>
      <c r="AS19" s="2" cm="1">
        <f t="array" ref="AS19">SPDAM(AM19,AN19,AO19)</f>
        <v>330</v>
      </c>
      <c r="AT19" s="3" cm="1">
        <f t="array" ref="AT19">SPDAM(AM19,AN19,AP19)</f>
        <v>55</v>
      </c>
      <c r="AU19" s="2">
        <f t="shared" si="10"/>
        <v>4.5</v>
      </c>
      <c r="AV19" s="3">
        <f t="shared" si="11"/>
        <v>0.75</v>
      </c>
      <c r="AW19" s="2">
        <f t="shared" si="12"/>
        <v>0</v>
      </c>
      <c r="AX19" s="3">
        <f t="shared" si="13"/>
        <v>0</v>
      </c>
    </row>
    <row r="20" spans="1:50">
      <c r="A20" s="8" t="s">
        <v>15</v>
      </c>
      <c r="B20" s="1">
        <v>6</v>
      </c>
      <c r="C20" s="1">
        <v>1</v>
      </c>
      <c r="D20" s="1">
        <v>14</v>
      </c>
      <c r="E20" s="1">
        <v>1</v>
      </c>
      <c r="F20" s="1">
        <v>6</v>
      </c>
      <c r="G20" s="1">
        <f t="shared" si="17"/>
        <v>6</v>
      </c>
      <c r="H20" s="1">
        <v>2.5000000000000001E-2</v>
      </c>
      <c r="I20" s="2" cm="1">
        <f t="array" ref="I20">SPDAM(D20,E20,F20)</f>
        <v>84</v>
      </c>
      <c r="J20" s="3" cm="1">
        <f t="array" ref="J20">SPDAM(D20,E20,G20)</f>
        <v>84</v>
      </c>
      <c r="K20" s="2">
        <f t="shared" si="18"/>
        <v>0.15000000000000002</v>
      </c>
      <c r="L20" s="3">
        <f t="shared" si="19"/>
        <v>0.15000000000000002</v>
      </c>
      <c r="R20" s="5" t="s">
        <v>15</v>
      </c>
      <c r="S20" s="1">
        <v>6</v>
      </c>
      <c r="T20" s="1">
        <v>1</v>
      </c>
      <c r="U20" s="1">
        <v>18</v>
      </c>
      <c r="V20" s="1">
        <v>1</v>
      </c>
      <c r="W20" s="1">
        <v>6</v>
      </c>
      <c r="X20" s="1">
        <f t="shared" si="23"/>
        <v>6</v>
      </c>
      <c r="Y20" s="1">
        <v>0</v>
      </c>
      <c r="Z20" s="2" cm="1">
        <f t="array" ref="Z20">SPDAM(U20,V20,W20)</f>
        <v>108</v>
      </c>
      <c r="AA20" s="3" cm="1">
        <f t="array" ref="AA20">SPDAM(U20,V20,X20)</f>
        <v>108</v>
      </c>
      <c r="AB20" s="2">
        <f t="shared" si="20"/>
        <v>0</v>
      </c>
      <c r="AC20" s="3">
        <f t="shared" si="21"/>
        <v>0</v>
      </c>
      <c r="AJ20" s="24" t="s">
        <v>65</v>
      </c>
      <c r="AK20" s="1">
        <v>1</v>
      </c>
      <c r="AL20" s="1">
        <v>1</v>
      </c>
      <c r="AM20" s="1">
        <f>80+90</f>
        <v>170</v>
      </c>
      <c r="AN20" s="1">
        <v>1</v>
      </c>
      <c r="AO20" s="1">
        <v>1</v>
      </c>
      <c r="AP20" s="1">
        <f t="shared" ref="AP20" si="24">MIN(AK20/AL20,AO20)</f>
        <v>1</v>
      </c>
      <c r="AQ20" s="1">
        <f>0.1*2+0.075*2</f>
        <v>0.35</v>
      </c>
      <c r="AR20" s="1">
        <v>0</v>
      </c>
      <c r="AS20" s="2" cm="1">
        <f t="array" ref="AS20">SPDAM(AM20,AN20,AO20)</f>
        <v>170</v>
      </c>
      <c r="AT20" s="3" cm="1">
        <f t="array" ref="AT20">SPDAM(AM20,AN20,AP20)</f>
        <v>170</v>
      </c>
      <c r="AU20" s="2">
        <f t="shared" si="10"/>
        <v>0.35</v>
      </c>
      <c r="AV20" s="3">
        <f t="shared" si="11"/>
        <v>0.35</v>
      </c>
      <c r="AW20" s="2">
        <f t="shared" si="12"/>
        <v>0</v>
      </c>
      <c r="AX20" s="3">
        <f t="shared" si="13"/>
        <v>0</v>
      </c>
    </row>
    <row r="21" spans="1:50">
      <c r="A21" s="8" t="s">
        <v>16</v>
      </c>
      <c r="B21" s="1">
        <v>6</v>
      </c>
      <c r="C21" s="1">
        <v>1</v>
      </c>
      <c r="D21" s="1">
        <v>10</v>
      </c>
      <c r="E21" s="1">
        <v>1</v>
      </c>
      <c r="F21" s="1">
        <v>6</v>
      </c>
      <c r="G21" s="1">
        <f t="shared" si="17"/>
        <v>6</v>
      </c>
      <c r="H21" s="1">
        <v>0.03</v>
      </c>
      <c r="I21" s="2" cm="1">
        <f t="array" ref="I21">SPDAM(D21,E21,F21)</f>
        <v>60</v>
      </c>
      <c r="J21" s="3" cm="1">
        <f t="array" ref="J21">SPDAM(D21,E21,G21)</f>
        <v>60</v>
      </c>
      <c r="K21" s="2">
        <f t="shared" si="18"/>
        <v>0.18</v>
      </c>
      <c r="L21" s="3">
        <f t="shared" si="19"/>
        <v>0.18</v>
      </c>
      <c r="R21" s="5" t="s">
        <v>16</v>
      </c>
      <c r="S21" s="1">
        <v>1</v>
      </c>
      <c r="T21" s="1">
        <v>1</v>
      </c>
      <c r="U21" s="1">
        <v>80</v>
      </c>
      <c r="V21" s="1">
        <v>0.8</v>
      </c>
      <c r="W21" s="1">
        <v>4</v>
      </c>
      <c r="X21" s="1">
        <f t="shared" si="23"/>
        <v>1</v>
      </c>
      <c r="Y21" s="1">
        <v>0</v>
      </c>
      <c r="Z21" s="2" cm="1">
        <f t="array" ref="Z21">SPDAM(U21,V21,W21)</f>
        <v>236.16000000000003</v>
      </c>
      <c r="AA21" s="3" cm="1">
        <f t="array" ref="AA21">SPDAM(U21,V21,X21)</f>
        <v>80</v>
      </c>
      <c r="AB21" s="2">
        <f t="shared" si="20"/>
        <v>0</v>
      </c>
      <c r="AC21" s="3">
        <f t="shared" si="21"/>
        <v>0</v>
      </c>
      <c r="AJ21" s="24" t="s">
        <v>66</v>
      </c>
      <c r="AK21" s="1">
        <v>1</v>
      </c>
      <c r="AL21" s="1">
        <v>1</v>
      </c>
      <c r="AM21" s="1">
        <v>95</v>
      </c>
      <c r="AN21" s="1">
        <v>0.95</v>
      </c>
      <c r="AO21" s="1">
        <v>6</v>
      </c>
      <c r="AP21" s="1">
        <f>MIN(AK21/AL21,AO21)</f>
        <v>1</v>
      </c>
      <c r="AQ21" s="1">
        <f>0.5*2</f>
        <v>1</v>
      </c>
      <c r="AR21" s="1">
        <v>0</v>
      </c>
      <c r="AS21" s="2" cm="1">
        <f t="array" ref="AS21">SPDAM(AM21,AN21,AO21)</f>
        <v>503.32540781249986</v>
      </c>
      <c r="AT21" s="3" cm="1">
        <f t="array" ref="AT21">SPDAM(AM21,AN21,AP21)</f>
        <v>95</v>
      </c>
      <c r="AU21" s="2">
        <f t="shared" si="10"/>
        <v>6</v>
      </c>
      <c r="AV21" s="3">
        <f t="shared" si="11"/>
        <v>1</v>
      </c>
      <c r="AW21" s="2">
        <f t="shared" si="12"/>
        <v>0</v>
      </c>
      <c r="AX21" s="3">
        <f t="shared" si="13"/>
        <v>0</v>
      </c>
    </row>
    <row r="22" spans="1:50">
      <c r="A22" s="8" t="s">
        <v>17</v>
      </c>
      <c r="B22" s="1">
        <v>8</v>
      </c>
      <c r="C22" s="1">
        <v>1</v>
      </c>
      <c r="D22" s="1">
        <v>17</v>
      </c>
      <c r="E22" s="1">
        <v>1</v>
      </c>
      <c r="F22" s="1">
        <v>8</v>
      </c>
      <c r="G22" s="1">
        <f t="shared" si="17"/>
        <v>8</v>
      </c>
      <c r="H22" s="1">
        <v>0.03</v>
      </c>
      <c r="I22" s="2" cm="1">
        <f t="array" ref="I22">SPDAM(D22,E22,F22)</f>
        <v>136</v>
      </c>
      <c r="J22" s="3" cm="1">
        <f t="array" ref="J22">SPDAM(D22,E22,G22)</f>
        <v>136</v>
      </c>
      <c r="K22" s="2">
        <f t="shared" si="18"/>
        <v>0.24</v>
      </c>
      <c r="L22" s="3">
        <f t="shared" si="19"/>
        <v>0.24</v>
      </c>
      <c r="R22" s="5" t="s">
        <v>17</v>
      </c>
      <c r="S22" s="1">
        <v>1</v>
      </c>
      <c r="T22" s="1">
        <v>1</v>
      </c>
      <c r="U22" s="1">
        <f>9.4*4*4</f>
        <v>150.4</v>
      </c>
      <c r="V22" s="1">
        <v>0.5</v>
      </c>
      <c r="W22" s="1">
        <v>2.5</v>
      </c>
      <c r="X22" s="1">
        <f t="shared" si="23"/>
        <v>1</v>
      </c>
      <c r="Y22" s="1">
        <v>0</v>
      </c>
      <c r="Z22" s="2" cm="1">
        <f t="array" ref="Z22">SPDAM(U22,V22,W22)</f>
        <v>247.62557005477163</v>
      </c>
      <c r="AA22" s="3" cm="1">
        <f t="array" ref="AA22">SPDAM(U22,V22,X22)</f>
        <v>150.4</v>
      </c>
      <c r="AB22" s="2">
        <f t="shared" si="20"/>
        <v>0</v>
      </c>
      <c r="AC22" s="3">
        <f t="shared" si="21"/>
        <v>0</v>
      </c>
      <c r="AJ22" s="5" t="s">
        <v>6</v>
      </c>
      <c r="AK22" s="1">
        <v>1</v>
      </c>
      <c r="AL22" s="1">
        <v>1</v>
      </c>
      <c r="AM22" s="1">
        <v>75</v>
      </c>
      <c r="AN22" s="1">
        <v>1</v>
      </c>
      <c r="AO22" s="1">
        <v>1.2</v>
      </c>
      <c r="AP22" s="1">
        <f t="shared" si="15"/>
        <v>1</v>
      </c>
      <c r="AQ22" s="1">
        <v>0</v>
      </c>
      <c r="AR22" s="1">
        <v>0</v>
      </c>
      <c r="AS22" s="2" cm="1">
        <f t="array" ref="AS22">SPDAM(AM22,AN22,AO22)</f>
        <v>90</v>
      </c>
      <c r="AT22" s="3" cm="1">
        <f t="array" ref="AT22">SPDAM(AM22,AN22,AP22)</f>
        <v>75</v>
      </c>
      <c r="AU22" s="2">
        <f t="shared" si="10"/>
        <v>0</v>
      </c>
      <c r="AV22" s="3">
        <f t="shared" si="11"/>
        <v>0</v>
      </c>
      <c r="AW22" s="2">
        <f t="shared" si="12"/>
        <v>0</v>
      </c>
      <c r="AX22" s="3">
        <f t="shared" si="13"/>
        <v>0</v>
      </c>
    </row>
    <row r="23" spans="1:50">
      <c r="A23" s="8" t="s">
        <v>18</v>
      </c>
      <c r="B23" s="1">
        <v>1</v>
      </c>
      <c r="C23" s="1">
        <v>1</v>
      </c>
      <c r="D23" s="1">
        <v>30</v>
      </c>
      <c r="E23" s="1">
        <v>1</v>
      </c>
      <c r="F23" s="1">
        <v>10</v>
      </c>
      <c r="G23" s="1">
        <f t="shared" si="17"/>
        <v>1</v>
      </c>
      <c r="H23" s="1">
        <v>0.5</v>
      </c>
      <c r="I23" s="2" cm="1">
        <f t="array" ref="I23">SPDAM(D23,E23,F23)</f>
        <v>300</v>
      </c>
      <c r="J23" s="3" cm="1">
        <f t="array" ref="J23">SPDAM(D23,E23,G23)</f>
        <v>30</v>
      </c>
      <c r="K23" s="2">
        <f t="shared" si="18"/>
        <v>5</v>
      </c>
      <c r="L23" s="3">
        <f t="shared" si="19"/>
        <v>0.5</v>
      </c>
      <c r="R23" s="5" t="s">
        <v>18</v>
      </c>
      <c r="S23" s="1">
        <v>7</v>
      </c>
      <c r="T23" s="1">
        <v>1</v>
      </c>
      <c r="U23" s="1">
        <v>15</v>
      </c>
      <c r="V23" s="1">
        <v>1</v>
      </c>
      <c r="W23" s="1">
        <f>7*10</f>
        <v>70</v>
      </c>
      <c r="X23" s="1">
        <f t="shared" si="23"/>
        <v>7</v>
      </c>
      <c r="Y23" s="1">
        <v>0</v>
      </c>
      <c r="Z23" s="2" cm="1">
        <f t="array" ref="Z23">SPDAM(U23,V23,W23)</f>
        <v>1050</v>
      </c>
      <c r="AA23" s="3" cm="1">
        <f t="array" ref="AA23">SPDAM(U23,V23,X23)</f>
        <v>105</v>
      </c>
      <c r="AB23" s="2">
        <f t="shared" si="20"/>
        <v>0</v>
      </c>
      <c r="AC23" s="3">
        <f t="shared" si="21"/>
        <v>0</v>
      </c>
      <c r="AJ23" s="5" t="s">
        <v>7</v>
      </c>
      <c r="AK23" s="1">
        <v>1</v>
      </c>
      <c r="AL23" s="1">
        <v>1</v>
      </c>
      <c r="AM23" s="1">
        <v>40</v>
      </c>
      <c r="AN23" s="1">
        <v>1</v>
      </c>
      <c r="AO23" s="1">
        <v>1</v>
      </c>
      <c r="AP23" s="1">
        <f t="shared" si="15"/>
        <v>1</v>
      </c>
      <c r="AQ23" s="1">
        <v>0</v>
      </c>
      <c r="AR23" s="1">
        <v>0</v>
      </c>
      <c r="AS23" s="2" cm="1">
        <f t="array" ref="AS23">SPDAM(AM23,AN23,AO23)</f>
        <v>40</v>
      </c>
      <c r="AT23" s="3" cm="1">
        <f t="array" ref="AT23">SPDAM(AM23,AN23,AP23)</f>
        <v>40</v>
      </c>
      <c r="AU23" s="2">
        <f t="shared" si="10"/>
        <v>0</v>
      </c>
      <c r="AV23" s="3">
        <f t="shared" si="11"/>
        <v>0</v>
      </c>
      <c r="AW23" s="2">
        <f t="shared" si="12"/>
        <v>0</v>
      </c>
      <c r="AX23" s="3">
        <f t="shared" si="13"/>
        <v>0</v>
      </c>
    </row>
    <row r="24" spans="1:50">
      <c r="A24" s="9" t="s">
        <v>28</v>
      </c>
      <c r="B24" s="10">
        <v>800</v>
      </c>
      <c r="C24" s="10">
        <v>5</v>
      </c>
      <c r="D24" s="10"/>
      <c r="E24" s="10">
        <v>1.2</v>
      </c>
      <c r="F24" s="10">
        <v>1</v>
      </c>
      <c r="G24" s="10">
        <v>1</v>
      </c>
      <c r="H24" s="10"/>
      <c r="I24" s="2"/>
      <c r="J24" s="3"/>
      <c r="K24" s="2"/>
      <c r="L24" s="3"/>
      <c r="R24" s="9" t="s">
        <v>28</v>
      </c>
      <c r="S24" s="10">
        <v>400</v>
      </c>
      <c r="T24" s="10">
        <v>10</v>
      </c>
      <c r="U24" s="10"/>
      <c r="V24" s="10">
        <v>0.9</v>
      </c>
      <c r="W24" s="10">
        <v>0.9</v>
      </c>
      <c r="X24" s="10">
        <v>0.9</v>
      </c>
      <c r="Y24" s="10"/>
      <c r="Z24" s="2"/>
      <c r="AA24" s="3"/>
      <c r="AB24" s="2"/>
      <c r="AC24" s="3"/>
      <c r="AJ24" s="5" t="s">
        <v>13</v>
      </c>
      <c r="AK24" s="1">
        <v>80</v>
      </c>
      <c r="AL24" s="1">
        <v>7</v>
      </c>
      <c r="AM24" s="1">
        <v>10</v>
      </c>
      <c r="AN24" s="1">
        <v>0.95</v>
      </c>
      <c r="AO24" s="1">
        <v>48</v>
      </c>
      <c r="AP24" s="1">
        <f t="shared" si="15"/>
        <v>11.428571428571429</v>
      </c>
      <c r="AQ24" s="1">
        <v>0</v>
      </c>
      <c r="AR24" s="1">
        <v>0</v>
      </c>
      <c r="AS24" s="2" cm="1">
        <f t="array" ref="AS24">SPDAM(AM24,AN24,AO24)</f>
        <v>182.94848193313823</v>
      </c>
      <c r="AT24" s="3" cm="1">
        <f t="array" ref="AT24">SPDAM(AM24,AN24,AP24)</f>
        <v>88.713463196557768</v>
      </c>
      <c r="AU24" s="2">
        <f t="shared" si="10"/>
        <v>0</v>
      </c>
      <c r="AV24" s="3">
        <f t="shared" si="11"/>
        <v>0</v>
      </c>
      <c r="AW24" s="2">
        <f t="shared" si="12"/>
        <v>0</v>
      </c>
      <c r="AX24" s="3">
        <f t="shared" si="13"/>
        <v>0</v>
      </c>
    </row>
    <row r="25" spans="1:50">
      <c r="AJ25" s="5" t="s">
        <v>14</v>
      </c>
      <c r="AK25" s="1">
        <v>100</v>
      </c>
      <c r="AL25" s="1">
        <v>20</v>
      </c>
      <c r="AM25" s="1">
        <v>15</v>
      </c>
      <c r="AN25" s="1">
        <v>0.9</v>
      </c>
      <c r="AO25" s="1">
        <v>6</v>
      </c>
      <c r="AP25" s="1">
        <f t="shared" si="15"/>
        <v>5</v>
      </c>
      <c r="AQ25" s="1">
        <f>0.08*3</f>
        <v>0.24</v>
      </c>
      <c r="AR25" s="1">
        <v>0</v>
      </c>
      <c r="AS25" s="2" cm="1">
        <f t="array" ref="AS25">SPDAM(AM25,AN25,AO25)</f>
        <v>70.283850000000001</v>
      </c>
      <c r="AT25" s="3" cm="1">
        <f t="array" ref="AT25">SPDAM(AM25,AN25,AP25)</f>
        <v>61.426500000000004</v>
      </c>
      <c r="AU25" s="2">
        <f t="shared" si="10"/>
        <v>1.44</v>
      </c>
      <c r="AV25" s="3">
        <f t="shared" si="11"/>
        <v>1.2</v>
      </c>
      <c r="AW25" s="2">
        <f t="shared" si="12"/>
        <v>0</v>
      </c>
      <c r="AX25" s="3">
        <f t="shared" si="13"/>
        <v>0</v>
      </c>
    </row>
    <row r="26" spans="1:50">
      <c r="AJ26" s="5" t="s">
        <v>15</v>
      </c>
      <c r="AK26" s="1">
        <v>1</v>
      </c>
      <c r="AL26" s="1">
        <v>1</v>
      </c>
      <c r="AM26" s="1">
        <v>87.5</v>
      </c>
      <c r="AN26" s="1">
        <v>0.6</v>
      </c>
      <c r="AO26" s="1">
        <v>3</v>
      </c>
      <c r="AP26" s="1">
        <f t="shared" si="15"/>
        <v>1</v>
      </c>
      <c r="AQ26" s="1">
        <f>0.16*2</f>
        <v>0.32</v>
      </c>
      <c r="AR26" s="1">
        <v>0</v>
      </c>
      <c r="AS26" s="2" cm="1">
        <f t="array" ref="AS26">SPDAM(AM26,AN26,AO26)</f>
        <v>171.5</v>
      </c>
      <c r="AT26" s="3" cm="1">
        <f t="array" ref="AT26">SPDAM(AM26,AN26,AP26)</f>
        <v>87.5</v>
      </c>
      <c r="AU26" s="2">
        <f t="shared" si="10"/>
        <v>0.96</v>
      </c>
      <c r="AV26" s="3">
        <f t="shared" si="11"/>
        <v>0.32</v>
      </c>
      <c r="AW26" s="2">
        <f t="shared" si="12"/>
        <v>0</v>
      </c>
      <c r="AX26" s="3">
        <f t="shared" si="13"/>
        <v>0</v>
      </c>
    </row>
    <row r="27" spans="1:50">
      <c r="A27" s="6" t="s">
        <v>24</v>
      </c>
      <c r="B27" s="4" t="s">
        <v>12</v>
      </c>
      <c r="C27" s="4" t="s">
        <v>2</v>
      </c>
      <c r="D27" s="4" t="s">
        <v>1</v>
      </c>
      <c r="E27" s="4" t="s">
        <v>3</v>
      </c>
      <c r="F27" s="4" t="s">
        <v>4</v>
      </c>
      <c r="G27" s="4" t="s">
        <v>8</v>
      </c>
      <c r="H27" s="4" t="s">
        <v>11</v>
      </c>
      <c r="I27" s="4" t="s">
        <v>9</v>
      </c>
      <c r="J27" s="4" t="s">
        <v>10</v>
      </c>
      <c r="K27" s="4" t="s">
        <v>19</v>
      </c>
      <c r="L27" s="4" t="s">
        <v>20</v>
      </c>
      <c r="R27" s="6" t="s">
        <v>25</v>
      </c>
      <c r="S27" s="4" t="s">
        <v>12</v>
      </c>
      <c r="T27" s="4" t="s">
        <v>2</v>
      </c>
      <c r="U27" s="4" t="s">
        <v>1</v>
      </c>
      <c r="V27" s="4" t="s">
        <v>3</v>
      </c>
      <c r="W27" s="4" t="s">
        <v>4</v>
      </c>
      <c r="X27" s="4" t="s">
        <v>8</v>
      </c>
      <c r="Y27" s="4" t="s">
        <v>11</v>
      </c>
      <c r="Z27" s="4" t="s">
        <v>9</v>
      </c>
      <c r="AA27" s="4" t="s">
        <v>10</v>
      </c>
      <c r="AB27" s="4" t="s">
        <v>19</v>
      </c>
      <c r="AC27" s="4" t="s">
        <v>20</v>
      </c>
      <c r="AJ27" s="5" t="s">
        <v>16</v>
      </c>
      <c r="AK27" s="1">
        <v>1</v>
      </c>
      <c r="AL27" s="1">
        <v>1</v>
      </c>
      <c r="AM27" s="1">
        <v>55</v>
      </c>
      <c r="AN27" s="1">
        <v>1</v>
      </c>
      <c r="AO27" s="1">
        <v>6</v>
      </c>
      <c r="AP27" s="1">
        <f t="shared" si="15"/>
        <v>1</v>
      </c>
      <c r="AQ27" s="1">
        <f>0.25*3</f>
        <v>0.75</v>
      </c>
      <c r="AR27" s="1">
        <v>0</v>
      </c>
      <c r="AS27" s="2" cm="1">
        <f t="array" ref="AS27">SPDAM(AM27,AN27,AO27)</f>
        <v>330</v>
      </c>
      <c r="AT27" s="3" cm="1">
        <f t="array" ref="AT27">SPDAM(AM27,AN27,AP27)</f>
        <v>55</v>
      </c>
      <c r="AU27" s="2">
        <f t="shared" si="10"/>
        <v>4.5</v>
      </c>
      <c r="AV27" s="3">
        <f t="shared" si="11"/>
        <v>0.75</v>
      </c>
      <c r="AW27" s="2">
        <f t="shared" si="12"/>
        <v>0</v>
      </c>
      <c r="AX27" s="3">
        <f t="shared" si="13"/>
        <v>0</v>
      </c>
    </row>
    <row r="28" spans="1:50">
      <c r="A28" s="5" t="s">
        <v>5</v>
      </c>
      <c r="B28" s="1">
        <v>2</v>
      </c>
      <c r="C28" s="1">
        <v>1</v>
      </c>
      <c r="D28" s="1">
        <v>25</v>
      </c>
      <c r="E28" s="1">
        <v>1</v>
      </c>
      <c r="F28" s="1">
        <v>2</v>
      </c>
      <c r="G28" s="1">
        <f t="shared" ref="G28:G36" si="25">MIN(B28/C28,F28)</f>
        <v>2</v>
      </c>
      <c r="H28" s="1">
        <f>0.05*2</f>
        <v>0.1</v>
      </c>
      <c r="I28" s="2" cm="1">
        <f t="array" ref="I28">SPDAM(D28,E28,F28)</f>
        <v>50</v>
      </c>
      <c r="J28" s="3" cm="1">
        <f t="array" ref="J28">SPDAM(D28,E28,G28)</f>
        <v>50</v>
      </c>
      <c r="K28" s="2">
        <f t="shared" ref="K28:K36" si="26">F28*H28</f>
        <v>0.2</v>
      </c>
      <c r="L28" s="3">
        <f t="shared" ref="L28:L36" si="27">G28*H28</f>
        <v>0.2</v>
      </c>
      <c r="R28" s="5" t="s">
        <v>5</v>
      </c>
      <c r="S28" s="1">
        <v>1</v>
      </c>
      <c r="T28" s="1">
        <v>1</v>
      </c>
      <c r="U28" s="1">
        <v>55</v>
      </c>
      <c r="V28" s="1">
        <v>1</v>
      </c>
      <c r="W28" s="1">
        <v>1</v>
      </c>
      <c r="X28" s="1">
        <f t="shared" ref="X28:X36" si="28">MIN(S28/T28,W28)</f>
        <v>1</v>
      </c>
      <c r="Y28" s="1">
        <v>0</v>
      </c>
      <c r="Z28" s="2" cm="1">
        <f t="array" ref="Z28">SPDAM(U28,V28,W28)</f>
        <v>55</v>
      </c>
      <c r="AA28" s="3" cm="1">
        <f t="array" ref="AA28">SPDAM(U28,V28,X28)</f>
        <v>55</v>
      </c>
      <c r="AB28" s="2">
        <f>W28*Y28</f>
        <v>0</v>
      </c>
      <c r="AC28" s="3">
        <f t="shared" ref="AC28:AC33" si="29">X28*Y28</f>
        <v>0</v>
      </c>
      <c r="AD28" s="2">
        <f>Z28+AB28</f>
        <v>55</v>
      </c>
      <c r="AE28" s="3">
        <f>AA28+AC28</f>
        <v>55</v>
      </c>
      <c r="AJ28" s="5" t="s">
        <v>17</v>
      </c>
      <c r="AK28" s="1">
        <v>1</v>
      </c>
      <c r="AL28" s="1">
        <v>1</v>
      </c>
      <c r="AM28" s="1">
        <v>130</v>
      </c>
      <c r="AN28" s="1">
        <v>0.9</v>
      </c>
      <c r="AO28" s="1">
        <v>4</v>
      </c>
      <c r="AP28" s="1">
        <f t="shared" si="15"/>
        <v>1</v>
      </c>
      <c r="AQ28" s="1">
        <f>0.35*2</f>
        <v>0.7</v>
      </c>
      <c r="AR28" s="1">
        <v>0</v>
      </c>
      <c r="AS28" s="2" cm="1">
        <f t="array" ref="AS28">SPDAM(AM28,AN28,AO28)</f>
        <v>447.07000000000005</v>
      </c>
      <c r="AT28" s="3" cm="1">
        <f t="array" ref="AT28">SPDAM(AM28,AN28,AP28)</f>
        <v>130</v>
      </c>
      <c r="AU28" s="2">
        <f t="shared" si="10"/>
        <v>2.8</v>
      </c>
      <c r="AV28" s="3">
        <f t="shared" si="11"/>
        <v>0.7</v>
      </c>
      <c r="AW28" s="2">
        <f t="shared" si="12"/>
        <v>0</v>
      </c>
      <c r="AX28" s="3">
        <f t="shared" si="13"/>
        <v>0</v>
      </c>
    </row>
    <row r="29" spans="1:50">
      <c r="A29" s="5" t="s">
        <v>6</v>
      </c>
      <c r="B29" s="1">
        <v>1</v>
      </c>
      <c r="C29" s="1">
        <v>1</v>
      </c>
      <c r="D29" s="1">
        <v>80</v>
      </c>
      <c r="E29" s="1">
        <v>1</v>
      </c>
      <c r="F29" s="1">
        <v>1</v>
      </c>
      <c r="G29" s="1">
        <f t="shared" si="25"/>
        <v>1</v>
      </c>
      <c r="H29" s="1">
        <f>0.1*2</f>
        <v>0.2</v>
      </c>
      <c r="I29" s="2" cm="1">
        <f t="array" ref="I29">SPDAM(D29,E29,F29)</f>
        <v>80</v>
      </c>
      <c r="J29" s="3" cm="1">
        <f t="array" ref="J29">SPDAM(D29,E29,G29)</f>
        <v>80</v>
      </c>
      <c r="K29" s="2">
        <f t="shared" si="26"/>
        <v>0.2</v>
      </c>
      <c r="L29" s="3">
        <f t="shared" si="27"/>
        <v>0.2</v>
      </c>
      <c r="R29" s="5" t="s">
        <v>6</v>
      </c>
      <c r="S29" s="1">
        <v>1</v>
      </c>
      <c r="T29" s="1">
        <v>1</v>
      </c>
      <c r="U29" s="1">
        <v>84</v>
      </c>
      <c r="V29" s="1">
        <v>1</v>
      </c>
      <c r="W29" s="1">
        <v>1</v>
      </c>
      <c r="X29" s="1">
        <f t="shared" si="28"/>
        <v>1</v>
      </c>
      <c r="Y29" s="1">
        <v>0</v>
      </c>
      <c r="Z29" s="2" cm="1">
        <f t="array" ref="Z29">SPDAM(U29,V29,W29)</f>
        <v>84</v>
      </c>
      <c r="AA29" s="3" cm="1">
        <f t="array" ref="AA29">SPDAM(U29,V29,X29)</f>
        <v>84</v>
      </c>
      <c r="AB29" s="2">
        <f>W29*Y29</f>
        <v>0</v>
      </c>
      <c r="AC29" s="3">
        <f t="shared" si="29"/>
        <v>0</v>
      </c>
      <c r="AD29" s="2">
        <f>Z29+AB29</f>
        <v>84</v>
      </c>
      <c r="AE29" s="3">
        <f>AA29+AC29</f>
        <v>84</v>
      </c>
      <c r="AJ29" s="5" t="s">
        <v>18</v>
      </c>
      <c r="AK29" s="1">
        <v>1</v>
      </c>
      <c r="AL29" s="1">
        <v>1</v>
      </c>
      <c r="AM29" s="1">
        <v>95</v>
      </c>
      <c r="AN29" s="1">
        <v>0.95</v>
      </c>
      <c r="AO29" s="1">
        <v>6</v>
      </c>
      <c r="AP29" s="1">
        <f t="shared" si="15"/>
        <v>1</v>
      </c>
      <c r="AQ29" s="1">
        <f>0.5*2</f>
        <v>1</v>
      </c>
      <c r="AR29" s="1">
        <v>0</v>
      </c>
      <c r="AS29" s="2" cm="1">
        <f t="array" ref="AS29">SPDAM(AM29,AN29,AO29)</f>
        <v>503.32540781249986</v>
      </c>
      <c r="AT29" s="3" cm="1">
        <f t="array" ref="AT29">SPDAM(AM29,AN29,AP29)</f>
        <v>95</v>
      </c>
      <c r="AU29" s="2">
        <f t="shared" si="10"/>
        <v>6</v>
      </c>
      <c r="AV29" s="3">
        <f t="shared" si="11"/>
        <v>1</v>
      </c>
      <c r="AW29" s="2">
        <f t="shared" si="12"/>
        <v>0</v>
      </c>
      <c r="AX29" s="3">
        <f t="shared" si="13"/>
        <v>0</v>
      </c>
    </row>
    <row r="30" spans="1:50">
      <c r="A30" s="5" t="s">
        <v>7</v>
      </c>
      <c r="B30" s="1">
        <v>1</v>
      </c>
      <c r="C30" s="1">
        <v>1</v>
      </c>
      <c r="D30" s="1">
        <v>75</v>
      </c>
      <c r="E30" s="1">
        <v>1</v>
      </c>
      <c r="F30" s="1">
        <v>1</v>
      </c>
      <c r="G30" s="1">
        <f t="shared" si="25"/>
        <v>1</v>
      </c>
      <c r="H30" s="1">
        <v>0</v>
      </c>
      <c r="I30" s="2" cm="1">
        <f t="array" ref="I30">SPDAM(D30,E30,F30)</f>
        <v>75</v>
      </c>
      <c r="J30" s="3" cm="1">
        <f t="array" ref="J30">SPDAM(D30,E30,G30)</f>
        <v>75</v>
      </c>
      <c r="K30" s="2">
        <f t="shared" si="26"/>
        <v>0</v>
      </c>
      <c r="L30" s="3">
        <f t="shared" si="27"/>
        <v>0</v>
      </c>
      <c r="R30" s="5" t="s">
        <v>7</v>
      </c>
      <c r="S30" s="1">
        <v>1</v>
      </c>
      <c r="T30" s="1">
        <v>1</v>
      </c>
      <c r="U30" s="1">
        <v>0</v>
      </c>
      <c r="V30" s="1">
        <v>1</v>
      </c>
      <c r="W30" s="1">
        <v>1</v>
      </c>
      <c r="X30" s="1">
        <f t="shared" si="28"/>
        <v>1</v>
      </c>
      <c r="Y30" s="1">
        <v>0.8</v>
      </c>
      <c r="Z30" s="2" cm="1">
        <f t="array" ref="Z30">SPDAM(U30,V30,W30)</f>
        <v>0</v>
      </c>
      <c r="AA30" s="3" cm="1">
        <f t="array" ref="AA30">SPDAM(U30,V30,X30)</f>
        <v>0</v>
      </c>
      <c r="AB30" s="2">
        <f>W30*Y30</f>
        <v>0.8</v>
      </c>
      <c r="AC30" s="3">
        <f t="shared" si="29"/>
        <v>0.8</v>
      </c>
    </row>
    <row r="31" spans="1:50">
      <c r="A31" s="5" t="s">
        <v>13</v>
      </c>
      <c r="B31" s="1">
        <v>240</v>
      </c>
      <c r="C31" s="1">
        <v>30</v>
      </c>
      <c r="D31" s="1">
        <f>15*5</f>
        <v>75</v>
      </c>
      <c r="E31" s="1">
        <v>0.5</v>
      </c>
      <c r="F31" s="1">
        <v>3</v>
      </c>
      <c r="G31" s="1">
        <f t="shared" si="25"/>
        <v>3</v>
      </c>
      <c r="H31" s="1">
        <f>0.3*3*5</f>
        <v>4.5</v>
      </c>
      <c r="I31" s="2" cm="1">
        <f t="array" ref="I31">SPDAM(D31,E31,F31)</f>
        <v>131.25</v>
      </c>
      <c r="J31" s="3" cm="1">
        <f t="array" ref="J31">SPDAM(D31,E31,G31)</f>
        <v>131.25</v>
      </c>
      <c r="K31" s="2">
        <f t="shared" si="26"/>
        <v>13.5</v>
      </c>
      <c r="L31" s="3">
        <f t="shared" si="27"/>
        <v>13.5</v>
      </c>
      <c r="R31" s="5" t="s">
        <v>13</v>
      </c>
      <c r="S31" s="1">
        <v>1</v>
      </c>
      <c r="T31" s="1">
        <v>1</v>
      </c>
      <c r="U31" s="1">
        <v>0.3</v>
      </c>
      <c r="V31" s="1">
        <v>1</v>
      </c>
      <c r="W31" s="1">
        <v>5</v>
      </c>
      <c r="X31" s="1">
        <f t="shared" si="28"/>
        <v>1</v>
      </c>
      <c r="Y31" s="1">
        <v>0.8</v>
      </c>
      <c r="Z31" s="2" cm="1">
        <f t="array" ref="Z31">SPDAM(U31,V31,W31)</f>
        <v>1.5</v>
      </c>
      <c r="AA31" s="3" cm="1">
        <f t="array" ref="AA31">SPDAM(U31,V31,X31)</f>
        <v>0.3</v>
      </c>
      <c r="AB31" s="2">
        <f>AC31+Z31</f>
        <v>2.2999999999999998</v>
      </c>
      <c r="AC31" s="3">
        <f t="shared" si="29"/>
        <v>0.8</v>
      </c>
    </row>
    <row r="32" spans="1:50">
      <c r="A32" s="5" t="s">
        <v>14</v>
      </c>
      <c r="B32" s="1">
        <v>3</v>
      </c>
      <c r="C32" s="1">
        <v>1</v>
      </c>
      <c r="D32" s="1">
        <v>18</v>
      </c>
      <c r="E32" s="1">
        <v>1</v>
      </c>
      <c r="F32" s="1">
        <v>3</v>
      </c>
      <c r="G32" s="1">
        <f t="shared" si="25"/>
        <v>3</v>
      </c>
      <c r="H32" s="1">
        <f>0.035*3</f>
        <v>0.10500000000000001</v>
      </c>
      <c r="I32" s="2" cm="1">
        <f t="array" ref="I32">SPDAM(D32,E32,F32)</f>
        <v>54</v>
      </c>
      <c r="J32" s="3" cm="1">
        <f t="array" ref="J32">SPDAM(D32,E32,G32)</f>
        <v>54</v>
      </c>
      <c r="K32" s="2">
        <f t="shared" si="26"/>
        <v>0.31500000000000006</v>
      </c>
      <c r="L32" s="3">
        <f t="shared" si="27"/>
        <v>0.31500000000000006</v>
      </c>
      <c r="R32" s="5" t="s">
        <v>14</v>
      </c>
      <c r="S32" s="1">
        <v>1</v>
      </c>
      <c r="T32" s="1">
        <v>1</v>
      </c>
      <c r="U32" s="1">
        <v>30</v>
      </c>
      <c r="V32" s="1">
        <v>0.4</v>
      </c>
      <c r="W32" s="1">
        <v>3</v>
      </c>
      <c r="X32" s="1">
        <f t="shared" si="28"/>
        <v>1</v>
      </c>
      <c r="Y32" s="1">
        <v>30</v>
      </c>
      <c r="Z32" s="2" cm="1">
        <f t="array" ref="Z32">SPDAM(U32,V32,W32)</f>
        <v>46.8</v>
      </c>
      <c r="AA32" s="3" cm="1">
        <f t="array" ref="AA32">SPDAM(U32,V32,X32)</f>
        <v>30</v>
      </c>
      <c r="AB32" s="2">
        <f>W32*Y32</f>
        <v>90</v>
      </c>
      <c r="AC32" s="3">
        <f t="shared" si="29"/>
        <v>30</v>
      </c>
      <c r="AD32" s="2">
        <f t="shared" ref="AD32:AE36" si="30">Z32+AB32</f>
        <v>136.80000000000001</v>
      </c>
      <c r="AE32" s="3">
        <f t="shared" si="30"/>
        <v>60</v>
      </c>
    </row>
    <row r="33" spans="1:31">
      <c r="A33" s="5" t="s">
        <v>15</v>
      </c>
      <c r="B33" s="1">
        <v>1</v>
      </c>
      <c r="C33" s="1">
        <v>1</v>
      </c>
      <c r="D33" s="1">
        <v>92</v>
      </c>
      <c r="E33" s="1">
        <v>0.8</v>
      </c>
      <c r="F33" s="1">
        <v>3</v>
      </c>
      <c r="G33" s="1">
        <f t="shared" si="25"/>
        <v>1</v>
      </c>
      <c r="H33" s="1">
        <v>0</v>
      </c>
      <c r="I33" s="2" cm="1">
        <f t="array" ref="I33">SPDAM(D33,E33,F33)</f>
        <v>224.48</v>
      </c>
      <c r="J33" s="3" cm="1">
        <f t="array" ref="J33">SPDAM(D33,E33,G33)</f>
        <v>92</v>
      </c>
      <c r="K33" s="2">
        <f t="shared" si="26"/>
        <v>0</v>
      </c>
      <c r="L33" s="3">
        <f t="shared" si="27"/>
        <v>0</v>
      </c>
      <c r="R33" s="5" t="s">
        <v>15</v>
      </c>
      <c r="S33" s="1">
        <v>1</v>
      </c>
      <c r="T33" s="1">
        <v>1</v>
      </c>
      <c r="U33" s="1">
        <f>10*7</f>
        <v>70</v>
      </c>
      <c r="V33" s="1">
        <v>0.5</v>
      </c>
      <c r="W33" s="1">
        <v>4</v>
      </c>
      <c r="X33" s="1">
        <f t="shared" si="28"/>
        <v>1</v>
      </c>
      <c r="Y33" s="1">
        <f>5*7</f>
        <v>35</v>
      </c>
      <c r="Z33" s="2" cm="1">
        <f t="array" ref="Z33">SPDAM(U33,V33,W33)</f>
        <v>131.25</v>
      </c>
      <c r="AA33" s="3" cm="1">
        <f t="array" ref="AA33">SPDAM(U33,V33,X33)</f>
        <v>70</v>
      </c>
      <c r="AB33" s="2">
        <f>W33*Y33</f>
        <v>140</v>
      </c>
      <c r="AC33" s="3">
        <f t="shared" si="29"/>
        <v>35</v>
      </c>
      <c r="AD33" s="2">
        <f t="shared" si="30"/>
        <v>271.25</v>
      </c>
      <c r="AE33" s="3">
        <f t="shared" si="30"/>
        <v>105</v>
      </c>
    </row>
    <row r="34" spans="1:31">
      <c r="A34" s="5" t="s">
        <v>16</v>
      </c>
      <c r="B34" s="1">
        <v>3.5</v>
      </c>
      <c r="C34" s="1">
        <v>3.5</v>
      </c>
      <c r="D34" s="1">
        <v>100</v>
      </c>
      <c r="E34" s="1">
        <v>1</v>
      </c>
      <c r="F34" s="1">
        <v>6</v>
      </c>
      <c r="G34" s="1">
        <f t="shared" si="25"/>
        <v>1</v>
      </c>
      <c r="H34" s="1">
        <v>0</v>
      </c>
      <c r="I34" s="2" cm="1">
        <f t="array" ref="I34">SPDAM(D34,E34,F34)</f>
        <v>600</v>
      </c>
      <c r="J34" s="3" cm="1">
        <f t="array" ref="J34">SPDAM(D34,E34,G34)</f>
        <v>100</v>
      </c>
      <c r="K34" s="2">
        <f t="shared" si="26"/>
        <v>0</v>
      </c>
      <c r="L34" s="3">
        <f t="shared" si="27"/>
        <v>0</v>
      </c>
      <c r="R34" s="5" t="s">
        <v>16</v>
      </c>
      <c r="S34" s="1">
        <v>75</v>
      </c>
      <c r="T34" s="1">
        <v>5</v>
      </c>
      <c r="U34" s="1">
        <v>10</v>
      </c>
      <c r="V34" s="1">
        <v>0.9</v>
      </c>
      <c r="W34" s="1">
        <v>10</v>
      </c>
      <c r="X34" s="1">
        <f t="shared" si="28"/>
        <v>10</v>
      </c>
      <c r="Y34" s="1">
        <v>70</v>
      </c>
      <c r="Z34" s="2" cm="1">
        <f t="array" ref="Z34">SPDAM(U34,V34,W34)</f>
        <v>65.132155990000001</v>
      </c>
      <c r="AA34" s="3" cm="1">
        <f t="array" ref="AA34">SPDAM(U34,V34,X34)</f>
        <v>65.132155990000001</v>
      </c>
      <c r="AB34" s="2">
        <f>W34*Y34</f>
        <v>700</v>
      </c>
      <c r="AC34" s="3">
        <f>Y34</f>
        <v>70</v>
      </c>
      <c r="AD34" s="2">
        <f t="shared" si="30"/>
        <v>765.13215599</v>
      </c>
      <c r="AE34" s="3">
        <f t="shared" si="30"/>
        <v>135.13215599</v>
      </c>
    </row>
    <row r="35" spans="1:31">
      <c r="A35" s="5" t="s">
        <v>17</v>
      </c>
      <c r="B35" s="1">
        <v>1</v>
      </c>
      <c r="C35" s="1">
        <v>1</v>
      </c>
      <c r="D35" s="1">
        <v>110</v>
      </c>
      <c r="E35" s="1">
        <v>0.8</v>
      </c>
      <c r="F35" s="1">
        <v>3</v>
      </c>
      <c r="G35" s="1">
        <f t="shared" si="25"/>
        <v>1</v>
      </c>
      <c r="H35" s="1">
        <f>0.4*3</f>
        <v>1.2000000000000002</v>
      </c>
      <c r="I35" s="2" cm="1">
        <f t="array" ref="I35">SPDAM(D35,E35,F35)</f>
        <v>268.39999999999998</v>
      </c>
      <c r="J35" s="3" cm="1">
        <f t="array" ref="J35">SPDAM(D35,E35,G35)</f>
        <v>110</v>
      </c>
      <c r="K35" s="2">
        <f t="shared" si="26"/>
        <v>3.6000000000000005</v>
      </c>
      <c r="L35" s="3">
        <f t="shared" si="27"/>
        <v>1.2000000000000002</v>
      </c>
      <c r="R35" s="5" t="s">
        <v>17</v>
      </c>
      <c r="S35" s="1">
        <f>120*4</f>
        <v>480</v>
      </c>
      <c r="T35" s="1">
        <v>18</v>
      </c>
      <c r="U35" s="1">
        <v>5</v>
      </c>
      <c r="V35" s="1">
        <v>1</v>
      </c>
      <c r="W35" s="1">
        <v>400</v>
      </c>
      <c r="X35" s="1">
        <f t="shared" si="28"/>
        <v>26.666666666666668</v>
      </c>
      <c r="Y35" s="1">
        <v>5</v>
      </c>
      <c r="Z35" s="2" cm="1">
        <f t="array" ref="Z35">SPDAM(U35,V35,W35)</f>
        <v>2000</v>
      </c>
      <c r="AA35" s="3" cm="1">
        <f t="array" ref="AA35">SPDAM(U35,V35,X35)</f>
        <v>133.33333333333334</v>
      </c>
      <c r="AB35" s="2">
        <f>W35*Y35</f>
        <v>2000</v>
      </c>
      <c r="AC35" s="3">
        <f>X35*Y35</f>
        <v>133.33333333333334</v>
      </c>
      <c r="AD35" s="2">
        <f t="shared" si="30"/>
        <v>4000</v>
      </c>
      <c r="AE35" s="3">
        <f t="shared" si="30"/>
        <v>266.66666666666669</v>
      </c>
    </row>
    <row r="36" spans="1:31">
      <c r="A36" s="5" t="s">
        <v>18</v>
      </c>
      <c r="B36" s="1">
        <v>1</v>
      </c>
      <c r="C36" s="1">
        <v>1</v>
      </c>
      <c r="D36" s="1">
        <v>200</v>
      </c>
      <c r="E36" s="1">
        <v>1</v>
      </c>
      <c r="F36" s="1">
        <v>1</v>
      </c>
      <c r="G36" s="1">
        <f t="shared" si="25"/>
        <v>1</v>
      </c>
      <c r="H36" s="1">
        <f>0.5*4</f>
        <v>2</v>
      </c>
      <c r="I36" s="2" cm="1">
        <f t="array" ref="I36">SPDAM(D36,E36,F36)</f>
        <v>200</v>
      </c>
      <c r="J36" s="3" cm="1">
        <f t="array" ref="J36">SPDAM(D36,E36,G36)</f>
        <v>200</v>
      </c>
      <c r="K36" s="2">
        <f t="shared" si="26"/>
        <v>2</v>
      </c>
      <c r="L36" s="3">
        <f t="shared" si="27"/>
        <v>2</v>
      </c>
      <c r="R36" s="5" t="s">
        <v>18</v>
      </c>
      <c r="S36" s="1">
        <v>1</v>
      </c>
      <c r="T36" s="1">
        <v>1</v>
      </c>
      <c r="U36" s="1">
        <v>60</v>
      </c>
      <c r="V36" s="1">
        <v>0.9</v>
      </c>
      <c r="W36" s="1">
        <v>4</v>
      </c>
      <c r="X36" s="1">
        <f t="shared" si="28"/>
        <v>1</v>
      </c>
      <c r="Y36" s="1">
        <v>70</v>
      </c>
      <c r="Z36" s="2" cm="1">
        <f t="array" ref="Z36">SPDAM(U36,V36,W36)</f>
        <v>206.34000000000003</v>
      </c>
      <c r="AA36" s="3" cm="1">
        <f t="array" ref="AA36">SPDAM(U36,V36,X36)</f>
        <v>60</v>
      </c>
      <c r="AB36" s="2">
        <f>W36*Y36</f>
        <v>280</v>
      </c>
      <c r="AC36" s="3">
        <f>X36*Y36</f>
        <v>70</v>
      </c>
      <c r="AD36" s="2">
        <f t="shared" si="30"/>
        <v>486.34000000000003</v>
      </c>
      <c r="AE36" s="3">
        <f t="shared" si="30"/>
        <v>130</v>
      </c>
    </row>
    <row r="37" spans="1:31">
      <c r="A37" s="9" t="s">
        <v>28</v>
      </c>
      <c r="B37" s="10">
        <v>950</v>
      </c>
      <c r="C37" s="10">
        <v>3</v>
      </c>
      <c r="D37" s="10"/>
      <c r="E37" s="10">
        <v>1.2</v>
      </c>
      <c r="F37" s="10">
        <v>1.2</v>
      </c>
      <c r="G37" s="10">
        <v>1.2</v>
      </c>
      <c r="H37" s="10"/>
      <c r="I37" s="2"/>
      <c r="J37" s="3"/>
      <c r="K37" s="2"/>
      <c r="L37" s="3"/>
      <c r="R37" s="9" t="s">
        <v>28</v>
      </c>
      <c r="S37" s="10">
        <v>800</v>
      </c>
      <c r="T37" s="10">
        <v>6</v>
      </c>
      <c r="U37" s="10"/>
      <c r="V37" s="10">
        <v>1.2</v>
      </c>
      <c r="W37" s="10">
        <v>1</v>
      </c>
      <c r="X37" s="10">
        <v>1</v>
      </c>
      <c r="Y37" s="10"/>
      <c r="Z37" s="2"/>
      <c r="AA37" s="3"/>
      <c r="AB37" s="2"/>
      <c r="AC37" s="3"/>
    </row>
    <row r="40" spans="1:31">
      <c r="A40" s="6" t="s">
        <v>26</v>
      </c>
      <c r="B40" s="4" t="s">
        <v>12</v>
      </c>
      <c r="C40" s="4" t="s">
        <v>2</v>
      </c>
      <c r="D40" s="4" t="s">
        <v>1</v>
      </c>
      <c r="E40" s="4" t="s">
        <v>3</v>
      </c>
      <c r="F40" s="4" t="s">
        <v>4</v>
      </c>
      <c r="G40" s="4" t="s">
        <v>8</v>
      </c>
      <c r="H40" s="4" t="s">
        <v>11</v>
      </c>
      <c r="I40" s="4" t="s">
        <v>9</v>
      </c>
      <c r="J40" s="4" t="s">
        <v>10</v>
      </c>
      <c r="K40" s="4" t="s">
        <v>19</v>
      </c>
      <c r="L40" s="4" t="s">
        <v>20</v>
      </c>
      <c r="R40" s="6" t="s">
        <v>27</v>
      </c>
      <c r="S40" s="4" t="s">
        <v>12</v>
      </c>
      <c r="T40" s="4" t="s">
        <v>2</v>
      </c>
      <c r="U40" s="4" t="s">
        <v>1</v>
      </c>
      <c r="V40" s="4" t="s">
        <v>3</v>
      </c>
      <c r="W40" s="4" t="s">
        <v>4</v>
      </c>
      <c r="X40" s="4" t="s">
        <v>8</v>
      </c>
      <c r="Y40" s="4" t="s">
        <v>11</v>
      </c>
      <c r="Z40" s="4" t="s">
        <v>9</v>
      </c>
      <c r="AA40" s="4" t="s">
        <v>10</v>
      </c>
      <c r="AB40" s="4" t="s">
        <v>19</v>
      </c>
      <c r="AC40" s="4" t="s">
        <v>20</v>
      </c>
    </row>
    <row r="41" spans="1:31">
      <c r="A41" s="5" t="s">
        <v>5</v>
      </c>
      <c r="B41" s="1">
        <v>1</v>
      </c>
      <c r="C41" s="1">
        <v>1</v>
      </c>
      <c r="D41" s="1">
        <v>33</v>
      </c>
      <c r="E41" s="1">
        <v>1</v>
      </c>
      <c r="F41" s="1">
        <v>1</v>
      </c>
      <c r="G41" s="1">
        <f t="shared" ref="G41:G47" si="31">MIN(B41/C41,F41)</f>
        <v>1</v>
      </c>
      <c r="H41" s="1">
        <v>33</v>
      </c>
      <c r="I41" s="2" cm="1">
        <f t="array" ref="I41">SPDAM(D41,E41,F41)</f>
        <v>33</v>
      </c>
      <c r="J41" s="3" cm="1">
        <f t="array" ref="J41">SPDAM(D41,E41,G41)</f>
        <v>33</v>
      </c>
      <c r="K41" s="2">
        <f>F41*H41</f>
        <v>33</v>
      </c>
      <c r="L41" s="3">
        <f>G41*H41</f>
        <v>33</v>
      </c>
      <c r="M41" s="2">
        <f t="shared" ref="M41:N43" si="32">I41+K41</f>
        <v>66</v>
      </c>
      <c r="N41" s="3">
        <f t="shared" si="32"/>
        <v>66</v>
      </c>
      <c r="R41" s="5" t="s">
        <v>5</v>
      </c>
      <c r="S41" s="1">
        <v>3</v>
      </c>
      <c r="T41" s="1">
        <v>1</v>
      </c>
      <c r="U41" s="1">
        <v>16</v>
      </c>
      <c r="V41" s="1">
        <v>1</v>
      </c>
      <c r="W41" s="1">
        <v>3</v>
      </c>
      <c r="X41" s="1">
        <f t="shared" ref="X41:X49" si="33">MIN(S41/T41,W41)</f>
        <v>3</v>
      </c>
      <c r="Y41" s="1">
        <f>0.04*2</f>
        <v>0.08</v>
      </c>
      <c r="Z41" s="2" cm="1">
        <f t="array" ref="Z41">SPDAM(U41,V41,W41)</f>
        <v>48</v>
      </c>
      <c r="AA41" s="3" cm="1">
        <f t="array" ref="AA41">SPDAM(U41,V41,X41)</f>
        <v>48</v>
      </c>
      <c r="AB41" s="2">
        <f t="shared" ref="AB41:AB48" si="34">W41*Y41</f>
        <v>0.24</v>
      </c>
      <c r="AC41" s="3">
        <f t="shared" ref="AC41:AC48" si="35">X41*Y41</f>
        <v>0.24</v>
      </c>
    </row>
    <row r="42" spans="1:31">
      <c r="A42" s="5" t="s">
        <v>6</v>
      </c>
      <c r="B42" s="1">
        <v>2</v>
      </c>
      <c r="C42" s="1">
        <v>1</v>
      </c>
      <c r="D42" s="1">
        <v>25</v>
      </c>
      <c r="E42" s="1">
        <v>1</v>
      </c>
      <c r="F42" s="1">
        <v>2</v>
      </c>
      <c r="G42" s="1">
        <f t="shared" si="31"/>
        <v>2</v>
      </c>
      <c r="H42" s="1">
        <v>25</v>
      </c>
      <c r="I42" s="2" cm="1">
        <f t="array" ref="I42">SPDAM(D42,E42,F42)</f>
        <v>50</v>
      </c>
      <c r="J42" s="3" cm="1">
        <f t="array" ref="J42">SPDAM(D42,E42,G42)</f>
        <v>50</v>
      </c>
      <c r="K42" s="2">
        <f>F42*H42</f>
        <v>50</v>
      </c>
      <c r="L42" s="3">
        <f>G42*H42</f>
        <v>50</v>
      </c>
      <c r="M42" s="2">
        <f t="shared" si="32"/>
        <v>100</v>
      </c>
      <c r="N42" s="3">
        <f t="shared" si="32"/>
        <v>100</v>
      </c>
      <c r="R42" s="5" t="s">
        <v>6</v>
      </c>
      <c r="S42" s="1">
        <v>10</v>
      </c>
      <c r="T42" s="1">
        <v>1</v>
      </c>
      <c r="U42" s="1">
        <v>8</v>
      </c>
      <c r="V42" s="1">
        <v>1</v>
      </c>
      <c r="W42" s="1">
        <v>10</v>
      </c>
      <c r="X42" s="1">
        <f t="shared" si="33"/>
        <v>10</v>
      </c>
      <c r="Y42" s="1">
        <f>0.02*2</f>
        <v>0.04</v>
      </c>
      <c r="Z42" s="2" cm="1">
        <f t="array" ref="Z42">SPDAM(U42,V42,W42)</f>
        <v>80</v>
      </c>
      <c r="AA42" s="3" cm="1">
        <f t="array" ref="AA42">SPDAM(U42,V42,X42)</f>
        <v>80</v>
      </c>
      <c r="AB42" s="2">
        <f t="shared" si="34"/>
        <v>0.4</v>
      </c>
      <c r="AC42" s="3">
        <f t="shared" si="35"/>
        <v>0.4</v>
      </c>
    </row>
    <row r="43" spans="1:31">
      <c r="A43" s="5" t="s">
        <v>7</v>
      </c>
      <c r="B43" s="1">
        <v>1</v>
      </c>
      <c r="C43" s="1">
        <v>1</v>
      </c>
      <c r="D43" s="1">
        <v>26</v>
      </c>
      <c r="E43" s="1">
        <v>1</v>
      </c>
      <c r="F43" s="1">
        <v>1</v>
      </c>
      <c r="G43" s="1">
        <f t="shared" si="31"/>
        <v>1</v>
      </c>
      <c r="H43" s="1">
        <v>27</v>
      </c>
      <c r="I43" s="2" cm="1">
        <f t="array" ref="I43">SPDAM(D43,E43,F43)</f>
        <v>26</v>
      </c>
      <c r="J43" s="3" cm="1">
        <f t="array" ref="J43">SPDAM(D43,E43,G43)</f>
        <v>26</v>
      </c>
      <c r="K43" s="2">
        <f>F43*H43</f>
        <v>27</v>
      </c>
      <c r="L43" s="3">
        <f>G43*H43</f>
        <v>27</v>
      </c>
      <c r="M43" s="2">
        <f t="shared" si="32"/>
        <v>53</v>
      </c>
      <c r="N43" s="3">
        <f t="shared" si="32"/>
        <v>53</v>
      </c>
      <c r="R43" s="5" t="s">
        <v>7</v>
      </c>
      <c r="S43" s="1">
        <v>1</v>
      </c>
      <c r="T43" s="1">
        <v>1</v>
      </c>
      <c r="U43" s="1">
        <v>27</v>
      </c>
      <c r="V43" s="1">
        <v>1</v>
      </c>
      <c r="W43" s="1">
        <v>4</v>
      </c>
      <c r="X43" s="1">
        <f t="shared" si="33"/>
        <v>1</v>
      </c>
      <c r="Y43" s="1">
        <v>0</v>
      </c>
      <c r="Z43" s="2" cm="1">
        <f t="array" ref="Z43">SPDAM(U43,V43,W43)</f>
        <v>108</v>
      </c>
      <c r="AA43" s="3" cm="1">
        <f t="array" ref="AA43">SPDAM(U43,V43,X43)</f>
        <v>27</v>
      </c>
      <c r="AB43" s="2">
        <f t="shared" si="34"/>
        <v>0</v>
      </c>
      <c r="AC43" s="3">
        <f t="shared" si="35"/>
        <v>0</v>
      </c>
    </row>
    <row r="44" spans="1:31">
      <c r="A44" s="5" t="s">
        <v>13</v>
      </c>
      <c r="B44" s="1">
        <v>2.5</v>
      </c>
      <c r="C44" s="1">
        <v>2.5</v>
      </c>
      <c r="D44" s="1">
        <v>55</v>
      </c>
      <c r="E44" s="1">
        <v>1</v>
      </c>
      <c r="F44" s="1">
        <v>6</v>
      </c>
      <c r="G44" s="1">
        <f t="shared" si="31"/>
        <v>1</v>
      </c>
      <c r="H44" s="1">
        <v>25</v>
      </c>
      <c r="I44" s="2" cm="1">
        <f t="array" ref="I44">SPDAM(D44,E44,F44)</f>
        <v>330</v>
      </c>
      <c r="J44" s="3" cm="1">
        <f t="array" ref="J44">SPDAM(D44,E44,G44)</f>
        <v>55</v>
      </c>
      <c r="K44" s="2">
        <f>2*H44</f>
        <v>50</v>
      </c>
      <c r="L44" s="3">
        <f>2*H44</f>
        <v>50</v>
      </c>
      <c r="M44" s="2">
        <f>K44</f>
        <v>50</v>
      </c>
      <c r="N44" s="3">
        <f>L44</f>
        <v>50</v>
      </c>
      <c r="R44" s="5" t="s">
        <v>13</v>
      </c>
      <c r="S44" s="1">
        <v>1</v>
      </c>
      <c r="T44" s="1">
        <v>1</v>
      </c>
      <c r="U44" s="1">
        <v>50</v>
      </c>
      <c r="V44" s="1">
        <v>0.95</v>
      </c>
      <c r="W44" s="1">
        <v>3</v>
      </c>
      <c r="X44" s="1">
        <f t="shared" si="33"/>
        <v>1</v>
      </c>
      <c r="Y44" s="1">
        <v>0</v>
      </c>
      <c r="Z44" s="2" cm="1">
        <f t="array" ref="Z44">SPDAM(U44,V44,W44)</f>
        <v>142.625</v>
      </c>
      <c r="AA44" s="3" cm="1">
        <f t="array" ref="AA44">SPDAM(U44,V44,X44)</f>
        <v>50</v>
      </c>
      <c r="AB44" s="2">
        <f t="shared" si="34"/>
        <v>0</v>
      </c>
      <c r="AC44" s="3">
        <f t="shared" si="35"/>
        <v>0</v>
      </c>
    </row>
    <row r="45" spans="1:31">
      <c r="A45" s="5" t="s">
        <v>14</v>
      </c>
      <c r="B45" s="1">
        <v>1</v>
      </c>
      <c r="C45" s="1">
        <v>1</v>
      </c>
      <c r="D45" s="1">
        <v>44</v>
      </c>
      <c r="E45" s="1">
        <v>0.5</v>
      </c>
      <c r="F45" s="1">
        <v>3</v>
      </c>
      <c r="G45" s="1">
        <f t="shared" si="31"/>
        <v>1</v>
      </c>
      <c r="H45" s="1">
        <v>44</v>
      </c>
      <c r="I45" s="2" cm="1">
        <f t="array" ref="I45">SPDAM(D45,E45,F45)</f>
        <v>77</v>
      </c>
      <c r="J45" s="3" cm="1">
        <f t="array" ref="J45">SPDAM(D45,E45,G45)</f>
        <v>44</v>
      </c>
      <c r="K45" s="2" cm="1">
        <f t="array" ref="K45">SPDAM(H45,E45,F45)</f>
        <v>77</v>
      </c>
      <c r="L45" s="3">
        <f>G45*H45</f>
        <v>44</v>
      </c>
      <c r="M45" s="2">
        <f>I45+K45</f>
        <v>154</v>
      </c>
      <c r="N45" s="3">
        <f>J45+L45</f>
        <v>88</v>
      </c>
      <c r="R45" s="5" t="s">
        <v>14</v>
      </c>
      <c r="S45" s="1">
        <v>4</v>
      </c>
      <c r="T45" s="1">
        <v>1</v>
      </c>
      <c r="U45" s="1">
        <v>20</v>
      </c>
      <c r="V45" s="1">
        <v>1</v>
      </c>
      <c r="W45" s="1">
        <v>4</v>
      </c>
      <c r="X45" s="1">
        <f t="shared" si="33"/>
        <v>4</v>
      </c>
      <c r="Y45" s="1">
        <v>-27</v>
      </c>
      <c r="Z45" s="2" cm="1">
        <f t="array" ref="Z45">SPDAM(U45,V45,W45)</f>
        <v>80</v>
      </c>
      <c r="AA45" s="3" cm="1">
        <f t="array" ref="AA45">SPDAM(U45,V45,X45)</f>
        <v>80</v>
      </c>
      <c r="AB45" s="2">
        <f t="shared" si="34"/>
        <v>-108</v>
      </c>
      <c r="AC45" s="3">
        <f t="shared" si="35"/>
        <v>-108</v>
      </c>
      <c r="AD45" t="s">
        <v>29</v>
      </c>
    </row>
    <row r="46" spans="1:31">
      <c r="A46" s="5" t="s">
        <v>15</v>
      </c>
      <c r="B46" s="1">
        <v>1</v>
      </c>
      <c r="C46" s="1">
        <v>1</v>
      </c>
      <c r="D46" s="1">
        <f>44*3</f>
        <v>132</v>
      </c>
      <c r="E46" s="1">
        <v>0.5</v>
      </c>
      <c r="F46" s="1">
        <v>3</v>
      </c>
      <c r="G46" s="1">
        <f t="shared" ref="G46" si="36">MIN(B46/C46,F46)</f>
        <v>1</v>
      </c>
      <c r="H46" s="1">
        <v>0</v>
      </c>
      <c r="I46" s="2" cm="1">
        <f t="array" ref="I46">SPDAM(D46,E46,F46)</f>
        <v>231</v>
      </c>
      <c r="J46" s="3" cm="1">
        <f t="array" ref="J46">SPDAM(D46,E46,G46)</f>
        <v>132</v>
      </c>
      <c r="K46" s="2">
        <f>33*6</f>
        <v>198</v>
      </c>
      <c r="L46" s="3">
        <f>G46*H46</f>
        <v>0</v>
      </c>
      <c r="R46" s="5" t="s">
        <v>15</v>
      </c>
      <c r="S46" s="1">
        <v>1</v>
      </c>
      <c r="T46" s="1">
        <v>1</v>
      </c>
      <c r="U46" s="1">
        <v>44</v>
      </c>
      <c r="V46" s="1">
        <v>0.5</v>
      </c>
      <c r="W46" s="1">
        <v>3</v>
      </c>
      <c r="X46" s="1">
        <f t="shared" si="33"/>
        <v>1</v>
      </c>
      <c r="Y46" s="1">
        <v>20</v>
      </c>
      <c r="Z46" s="2" cm="1">
        <f t="array" ref="Z46">SPDAM(U46,V46,W46)</f>
        <v>77</v>
      </c>
      <c r="AA46" s="3" cm="1">
        <f t="array" ref="AA46">SPDAM(U46,V46,X46)</f>
        <v>44</v>
      </c>
      <c r="AB46" s="2">
        <f t="shared" si="34"/>
        <v>60</v>
      </c>
      <c r="AC46" s="3">
        <f t="shared" si="35"/>
        <v>20</v>
      </c>
      <c r="AD46" t="s">
        <v>30</v>
      </c>
    </row>
    <row r="47" spans="1:31">
      <c r="A47" s="5" t="s">
        <v>16</v>
      </c>
      <c r="B47" s="1">
        <v>4.5</v>
      </c>
      <c r="C47" s="1">
        <v>4.5</v>
      </c>
      <c r="D47" s="1">
        <f>77*1.25</f>
        <v>96.25</v>
      </c>
      <c r="E47" s="1">
        <v>1</v>
      </c>
      <c r="F47" s="1">
        <v>3</v>
      </c>
      <c r="G47" s="1">
        <f t="shared" si="31"/>
        <v>1</v>
      </c>
      <c r="H47" s="1">
        <v>0</v>
      </c>
      <c r="I47" s="2" cm="1">
        <f t="array" ref="I47">SPDAM(D47,E47,F47)</f>
        <v>288.75</v>
      </c>
      <c r="J47" s="3" cm="1">
        <f t="array" ref="J47">SPDAM(D47,E47,G47)</f>
        <v>96.25</v>
      </c>
      <c r="K47" s="2">
        <f>33*6*1.25</f>
        <v>247.5</v>
      </c>
      <c r="L47" s="3">
        <f>G47*H47</f>
        <v>0</v>
      </c>
      <c r="R47" s="5" t="s">
        <v>16</v>
      </c>
      <c r="S47" s="1">
        <v>1</v>
      </c>
      <c r="T47" s="1">
        <v>1</v>
      </c>
      <c r="U47" s="1">
        <v>33</v>
      </c>
      <c r="V47" s="1">
        <v>1</v>
      </c>
      <c r="W47" s="1">
        <v>6</v>
      </c>
      <c r="X47" s="1">
        <f t="shared" si="33"/>
        <v>1</v>
      </c>
      <c r="Y47" s="1">
        <f>0.3*3</f>
        <v>0.89999999999999991</v>
      </c>
      <c r="Z47" s="2" cm="1">
        <f t="array" ref="Z47">SPDAM(U47,V47,W47)</f>
        <v>198</v>
      </c>
      <c r="AA47" s="3" cm="1">
        <f t="array" ref="AA47">SPDAM(U47,V47,X47)</f>
        <v>33</v>
      </c>
      <c r="AB47" s="2">
        <f t="shared" si="34"/>
        <v>5.3999999999999995</v>
      </c>
      <c r="AC47" s="3">
        <f t="shared" si="35"/>
        <v>0.89999999999999991</v>
      </c>
      <c r="AD47" t="s">
        <v>31</v>
      </c>
    </row>
    <row r="48" spans="1:31">
      <c r="A48" s="5" t="s">
        <v>17</v>
      </c>
      <c r="B48" s="1">
        <v>1</v>
      </c>
      <c r="C48" s="1">
        <v>1</v>
      </c>
      <c r="D48" s="1">
        <v>77</v>
      </c>
      <c r="E48" s="1">
        <v>0.5</v>
      </c>
      <c r="F48" s="1">
        <v>3</v>
      </c>
      <c r="G48" s="1">
        <f t="shared" ref="G48:G49" si="37">MIN(B48/C48,F48)</f>
        <v>1</v>
      </c>
      <c r="H48" s="1">
        <v>77</v>
      </c>
      <c r="I48" s="2" cm="1">
        <f t="array" ref="I48">SPDAM(D48,E48,F48)</f>
        <v>134.75</v>
      </c>
      <c r="J48" s="3" cm="1">
        <f t="array" ref="J48">SPDAM(D48,E48,G48)</f>
        <v>77</v>
      </c>
      <c r="K48" s="2" cm="1">
        <f t="array" ref="K48">SPDAM(H48,E48,F48)</f>
        <v>134.75</v>
      </c>
      <c r="L48" s="3">
        <f>G48*H48</f>
        <v>77</v>
      </c>
      <c r="M48" s="2">
        <f>I48+K48</f>
        <v>269.5</v>
      </c>
      <c r="N48" s="3">
        <f>J48+L48</f>
        <v>154</v>
      </c>
      <c r="R48" s="5" t="s">
        <v>17</v>
      </c>
      <c r="S48" s="1">
        <v>1</v>
      </c>
      <c r="T48" s="1">
        <v>1</v>
      </c>
      <c r="U48" s="1">
        <v>50</v>
      </c>
      <c r="V48" s="1">
        <v>1</v>
      </c>
      <c r="W48" s="1">
        <v>10</v>
      </c>
      <c r="X48" s="1">
        <f t="shared" si="33"/>
        <v>1</v>
      </c>
      <c r="Y48" s="1">
        <v>0.1</v>
      </c>
      <c r="Z48" s="2" cm="1">
        <f t="array" ref="Z48">SPDAM(U48,V48,W48)</f>
        <v>500</v>
      </c>
      <c r="AA48" s="3" cm="1">
        <f t="array" ref="AA48">SPDAM(U48,V48,X48)</f>
        <v>50</v>
      </c>
      <c r="AB48" s="2">
        <f t="shared" si="34"/>
        <v>1</v>
      </c>
      <c r="AC48" s="3">
        <f t="shared" si="35"/>
        <v>0.1</v>
      </c>
      <c r="AD48" t="s">
        <v>31</v>
      </c>
    </row>
    <row r="49" spans="1:32">
      <c r="A49" s="5" t="s">
        <v>18</v>
      </c>
      <c r="B49" s="1">
        <v>6</v>
      </c>
      <c r="C49" s="1">
        <v>1</v>
      </c>
      <c r="D49" s="1">
        <v>22</v>
      </c>
      <c r="E49" s="1">
        <v>1</v>
      </c>
      <c r="F49" s="1">
        <v>6</v>
      </c>
      <c r="G49" s="1">
        <f t="shared" si="37"/>
        <v>6</v>
      </c>
      <c r="H49" s="1">
        <v>22</v>
      </c>
      <c r="I49" s="2" cm="1">
        <f t="array" ref="I49">SPDAM(D49,E49,F49)</f>
        <v>132</v>
      </c>
      <c r="J49" s="3" cm="1">
        <f t="array" ref="J49">SPDAM(D49,E49,G49)</f>
        <v>132</v>
      </c>
      <c r="K49" s="2">
        <f>F49*H49</f>
        <v>132</v>
      </c>
      <c r="L49" s="3">
        <f>G49*H49</f>
        <v>132</v>
      </c>
      <c r="M49" s="2">
        <f>I49+K49</f>
        <v>264</v>
      </c>
      <c r="N49" s="3">
        <f>J49+L49</f>
        <v>264</v>
      </c>
      <c r="R49" s="5" t="s">
        <v>18</v>
      </c>
      <c r="S49" s="1">
        <v>120</v>
      </c>
      <c r="T49" s="1">
        <v>20</v>
      </c>
      <c r="U49" s="1">
        <v>11</v>
      </c>
      <c r="V49" s="1">
        <v>0.95</v>
      </c>
      <c r="W49" s="1">
        <v>40</v>
      </c>
      <c r="X49" s="1">
        <f t="shared" si="33"/>
        <v>6</v>
      </c>
      <c r="Y49" s="1">
        <f>0.1*3</f>
        <v>0.30000000000000004</v>
      </c>
      <c r="Z49" s="2" cm="1">
        <f t="array" ref="Z49">SPDAM(U49,V49,W49)</f>
        <v>191.72732555567717</v>
      </c>
      <c r="AA49" s="3" cm="1">
        <f t="array" ref="AA49">SPDAM(U49,V49,X49)</f>
        <v>58.279784062499999</v>
      </c>
      <c r="AB49" s="2" cm="1">
        <f t="array" ref="AB49">SPDAM(U51,V51,W51)</f>
        <v>120.55713630835626</v>
      </c>
      <c r="AC49" s="3" cm="1">
        <f t="array" ref="AC49">SPDAM(U51,V51,X51)</f>
        <v>52.981621875000002</v>
      </c>
      <c r="AD49" s="2">
        <f>Z49+AB49</f>
        <v>312.28446186403346</v>
      </c>
      <c r="AE49" s="3">
        <f>AA49+AC49</f>
        <v>111.2614059375</v>
      </c>
    </row>
    <row r="50" spans="1:32">
      <c r="A50" s="9" t="s">
        <v>28</v>
      </c>
      <c r="B50" s="10">
        <v>500</v>
      </c>
      <c r="C50" s="10">
        <v>7</v>
      </c>
      <c r="D50" s="10"/>
      <c r="E50" s="10">
        <v>0.9</v>
      </c>
      <c r="F50" s="10">
        <v>0.9</v>
      </c>
      <c r="G50" s="10">
        <v>0.9</v>
      </c>
      <c r="H50" s="10"/>
      <c r="I50" s="2"/>
      <c r="J50" s="3"/>
      <c r="K50" s="2"/>
      <c r="L50" s="3"/>
      <c r="R50" s="9" t="s">
        <v>28</v>
      </c>
      <c r="S50" s="10">
        <v>450</v>
      </c>
      <c r="T50" s="10">
        <v>8</v>
      </c>
      <c r="U50" s="10"/>
      <c r="V50" s="10">
        <v>1.1000000000000001</v>
      </c>
      <c r="W50" s="10">
        <v>1.1000000000000001</v>
      </c>
      <c r="X50" s="10">
        <v>1.3</v>
      </c>
      <c r="Y50" s="10"/>
      <c r="Z50" s="2"/>
      <c r="AA50" s="3"/>
      <c r="AB50" s="2"/>
      <c r="AC50" s="3" t="s">
        <v>32</v>
      </c>
    </row>
    <row r="51" spans="1:32">
      <c r="S51" s="1">
        <v>120</v>
      </c>
      <c r="T51" s="1">
        <v>20</v>
      </c>
      <c r="U51" s="1">
        <v>10</v>
      </c>
      <c r="V51" s="1">
        <v>0.95</v>
      </c>
      <c r="W51" s="1">
        <v>18</v>
      </c>
      <c r="X51" s="1">
        <f t="shared" ref="X51" si="38">MIN(S51/T51,W51)</f>
        <v>6</v>
      </c>
      <c r="Y51" s="1">
        <v>0</v>
      </c>
      <c r="Z51" s="2" cm="1">
        <f t="array" ref="Z51">SPDAM(U51,V51,W51)</f>
        <v>120.55713630835626</v>
      </c>
      <c r="AA51" s="3" cm="1">
        <f t="array" ref="AA51">SPDAM(U51,V51,X51)</f>
        <v>52.981621875000002</v>
      </c>
    </row>
    <row r="53" spans="1:32">
      <c r="A53" s="19" t="s">
        <v>41</v>
      </c>
      <c r="B53" s="4" t="s">
        <v>12</v>
      </c>
      <c r="C53" s="4" t="s">
        <v>2</v>
      </c>
      <c r="D53" s="4" t="s">
        <v>1</v>
      </c>
      <c r="E53" s="4" t="s">
        <v>3</v>
      </c>
      <c r="F53" s="4" t="s">
        <v>4</v>
      </c>
      <c r="G53" s="4" t="s">
        <v>8</v>
      </c>
      <c r="H53" s="4" t="s">
        <v>11</v>
      </c>
      <c r="I53" s="4" t="s">
        <v>9</v>
      </c>
      <c r="J53" s="4" t="s">
        <v>10</v>
      </c>
      <c r="K53" s="4" t="s">
        <v>19</v>
      </c>
      <c r="L53" s="4" t="s">
        <v>20</v>
      </c>
      <c r="R53" s="20" t="s">
        <v>42</v>
      </c>
      <c r="S53" s="4" t="s">
        <v>12</v>
      </c>
      <c r="T53" s="4" t="s">
        <v>2</v>
      </c>
      <c r="U53" s="4" t="s">
        <v>1</v>
      </c>
      <c r="V53" s="4" t="s">
        <v>3</v>
      </c>
      <c r="W53" s="4" t="s">
        <v>4</v>
      </c>
      <c r="X53" s="4" t="s">
        <v>8</v>
      </c>
      <c r="Y53" s="4" t="s">
        <v>11</v>
      </c>
      <c r="Z53" s="4" t="s">
        <v>9</v>
      </c>
      <c r="AA53" s="4" t="s">
        <v>10</v>
      </c>
      <c r="AB53" s="4" t="s">
        <v>19</v>
      </c>
      <c r="AC53" s="4" t="s">
        <v>20</v>
      </c>
    </row>
    <row r="54" spans="1:32">
      <c r="A54" s="5" t="s">
        <v>5</v>
      </c>
      <c r="B54" s="1">
        <v>1</v>
      </c>
      <c r="C54" s="1">
        <v>1</v>
      </c>
      <c r="D54" s="1">
        <v>50</v>
      </c>
      <c r="E54" s="1">
        <v>1</v>
      </c>
      <c r="F54" s="1">
        <v>1</v>
      </c>
      <c r="G54" s="1">
        <f t="shared" ref="G54:G62" si="39">MIN(B54/C54,F54)</f>
        <v>1</v>
      </c>
      <c r="H54" s="1">
        <v>0</v>
      </c>
      <c r="I54" s="2" cm="1">
        <f t="array" ref="I54">SPDAM(D54,E54,F54)</f>
        <v>50</v>
      </c>
      <c r="J54" s="3" cm="1">
        <f t="array" ref="J54">SPDAM(D54,E54,G54)</f>
        <v>50</v>
      </c>
      <c r="K54" s="2">
        <f t="shared" ref="K54:K62" si="40">F54*H54</f>
        <v>0</v>
      </c>
      <c r="L54" s="3">
        <f t="shared" ref="L54:L62" si="41">G54*H54</f>
        <v>0</v>
      </c>
      <c r="R54" s="5" t="s">
        <v>5</v>
      </c>
      <c r="S54" s="1">
        <v>1</v>
      </c>
      <c r="T54" s="1">
        <v>1</v>
      </c>
      <c r="U54" s="1">
        <v>45</v>
      </c>
      <c r="V54" s="1">
        <v>1</v>
      </c>
      <c r="W54" s="1">
        <v>1</v>
      </c>
      <c r="X54" s="1">
        <f t="shared" ref="X54:X62" si="42">MIN(S54/T54,W54)</f>
        <v>1</v>
      </c>
      <c r="Y54" s="1">
        <f>0.01*2</f>
        <v>0.02</v>
      </c>
      <c r="Z54" s="2" cm="1">
        <f t="array" ref="Z54">SPDAM(U54,V54,W54)</f>
        <v>45</v>
      </c>
      <c r="AA54" s="3" cm="1">
        <f t="array" ref="AA54">SPDAM(U54,V54,X54)</f>
        <v>45</v>
      </c>
      <c r="AB54" s="2">
        <f t="shared" ref="AB54:AB62" si="43">W54*Y54</f>
        <v>0.02</v>
      </c>
      <c r="AC54" s="3">
        <f>0.01*2</f>
        <v>0.02</v>
      </c>
    </row>
    <row r="55" spans="1:32">
      <c r="A55" s="5" t="s">
        <v>6</v>
      </c>
      <c r="B55" s="1">
        <v>1</v>
      </c>
      <c r="C55" s="1">
        <v>1</v>
      </c>
      <c r="D55" s="1">
        <v>50</v>
      </c>
      <c r="E55" s="1">
        <v>0.75</v>
      </c>
      <c r="F55" s="1">
        <v>2</v>
      </c>
      <c r="G55" s="1">
        <f t="shared" si="39"/>
        <v>1</v>
      </c>
      <c r="H55" s="1">
        <v>0</v>
      </c>
      <c r="I55" s="2" cm="1">
        <f t="array" ref="I55">SPDAM(D55,E55,F55)</f>
        <v>87.5</v>
      </c>
      <c r="J55" s="3" cm="1">
        <f t="array" ref="J55">SPDAM(D55,E55,G55)</f>
        <v>50</v>
      </c>
      <c r="K55" s="2">
        <f t="shared" si="40"/>
        <v>0</v>
      </c>
      <c r="L55" s="3">
        <f t="shared" si="41"/>
        <v>0</v>
      </c>
      <c r="R55" s="5" t="s">
        <v>6</v>
      </c>
      <c r="S55" s="1">
        <v>1</v>
      </c>
      <c r="T55" s="1">
        <v>1</v>
      </c>
      <c r="U55" s="1">
        <v>65</v>
      </c>
      <c r="V55" s="1">
        <v>0.75</v>
      </c>
      <c r="W55" s="1">
        <v>2.5</v>
      </c>
      <c r="X55" s="1">
        <f t="shared" si="42"/>
        <v>1</v>
      </c>
      <c r="Y55" s="1">
        <f>0.025*2</f>
        <v>0.05</v>
      </c>
      <c r="Z55" s="2" cm="1">
        <f t="array" ref="Z55">SPDAM(U55,V55,W55)</f>
        <v>133.34378469652586</v>
      </c>
      <c r="AA55" s="3" cm="1">
        <f t="array" ref="AA55">SPDAM(U55,V55,X55)</f>
        <v>65</v>
      </c>
      <c r="AB55" s="2">
        <f t="shared" si="43"/>
        <v>0.125</v>
      </c>
      <c r="AC55" s="3">
        <f>0.05*2</f>
        <v>0.1</v>
      </c>
    </row>
    <row r="56" spans="1:32">
      <c r="A56" s="5" t="s">
        <v>7</v>
      </c>
      <c r="B56" s="1">
        <v>100</v>
      </c>
      <c r="C56" s="1">
        <v>20</v>
      </c>
      <c r="D56" s="1">
        <v>9</v>
      </c>
      <c r="E56" s="1">
        <v>0.95</v>
      </c>
      <c r="F56" s="1">
        <v>10</v>
      </c>
      <c r="G56" s="1">
        <f t="shared" si="39"/>
        <v>5</v>
      </c>
      <c r="H56" s="1">
        <v>0</v>
      </c>
      <c r="I56" s="2" cm="1">
        <f t="array" ref="I56">SPDAM(D56,E56,F56)</f>
        <v>72.227350937091771</v>
      </c>
      <c r="J56" s="3" cm="1">
        <f t="array" ref="J56">SPDAM(D56,E56,G56)</f>
        <v>40.719431250000014</v>
      </c>
      <c r="K56" s="2">
        <f t="shared" si="40"/>
        <v>0</v>
      </c>
      <c r="L56" s="3">
        <f t="shared" si="41"/>
        <v>0</v>
      </c>
      <c r="M56" s="11">
        <v>0</v>
      </c>
      <c r="R56" s="5" t="s">
        <v>7</v>
      </c>
      <c r="S56" s="1">
        <f>120*1.5</f>
        <v>180</v>
      </c>
      <c r="T56" s="1">
        <v>20</v>
      </c>
      <c r="U56" s="1">
        <f>12*5</f>
        <v>60</v>
      </c>
      <c r="V56" s="1">
        <v>0.5</v>
      </c>
      <c r="W56" s="1">
        <v>2</v>
      </c>
      <c r="X56" s="1">
        <f t="shared" si="42"/>
        <v>2</v>
      </c>
      <c r="Y56" s="1">
        <v>0</v>
      </c>
      <c r="Z56" s="2" cm="1">
        <f t="array" ref="Z56">SPDAM(U56,V56,W56)</f>
        <v>90</v>
      </c>
      <c r="AA56" s="3" cm="1">
        <f t="array" ref="AA56">SPDAM(U56,V56,X56)</f>
        <v>90</v>
      </c>
      <c r="AB56" s="2">
        <f t="shared" si="43"/>
        <v>0</v>
      </c>
      <c r="AC56" s="3">
        <f t="shared" ref="AC56:AC62" si="44">X56*Y56</f>
        <v>0</v>
      </c>
      <c r="AD56" s="11">
        <v>0</v>
      </c>
    </row>
    <row r="57" spans="1:32">
      <c r="A57" s="5" t="s">
        <v>13</v>
      </c>
      <c r="B57" s="1">
        <v>55</v>
      </c>
      <c r="C57" s="1">
        <v>20</v>
      </c>
      <c r="D57" s="1">
        <v>12.5</v>
      </c>
      <c r="E57" s="1">
        <v>1</v>
      </c>
      <c r="F57" s="1">
        <v>9</v>
      </c>
      <c r="G57" s="1">
        <f t="shared" si="39"/>
        <v>2.75</v>
      </c>
      <c r="H57" s="1">
        <f>0.025*2.5</f>
        <v>6.25E-2</v>
      </c>
      <c r="I57" s="2" cm="1">
        <f t="array" ref="I57">SPDAM(D57,E57,F57)</f>
        <v>112.5</v>
      </c>
      <c r="J57" s="3" cm="1">
        <f t="array" ref="J57">SPDAM(D57,E57,G57)</f>
        <v>34.375</v>
      </c>
      <c r="K57" s="2">
        <f t="shared" si="40"/>
        <v>0.5625</v>
      </c>
      <c r="L57" s="3">
        <f t="shared" si="41"/>
        <v>0.171875</v>
      </c>
      <c r="M57" s="11">
        <v>0</v>
      </c>
      <c r="R57" s="5" t="s">
        <v>13</v>
      </c>
      <c r="S57" s="1">
        <f>120*2.5</f>
        <v>300</v>
      </c>
      <c r="T57" s="1">
        <v>20</v>
      </c>
      <c r="U57" s="1">
        <v>50</v>
      </c>
      <c r="V57" s="1">
        <v>0.6</v>
      </c>
      <c r="W57" s="1">
        <v>8</v>
      </c>
      <c r="X57" s="1">
        <f t="shared" si="42"/>
        <v>8</v>
      </c>
      <c r="Y57" s="1">
        <f>0.05*2.5</f>
        <v>0.125</v>
      </c>
      <c r="Z57" s="2" cm="1">
        <f t="array" ref="Z57">SPDAM(U57,V57,W57)</f>
        <v>122.90048000000002</v>
      </c>
      <c r="AA57" s="3" cm="1">
        <f t="array" ref="AA57">SPDAM(U57,V57,X57)</f>
        <v>122.90048000000002</v>
      </c>
      <c r="AB57" s="2">
        <f t="shared" si="43"/>
        <v>1</v>
      </c>
      <c r="AC57" s="3">
        <f t="shared" si="44"/>
        <v>1</v>
      </c>
      <c r="AD57" s="11">
        <v>0</v>
      </c>
    </row>
    <row r="58" spans="1:32">
      <c r="A58" s="5" t="s">
        <v>14</v>
      </c>
      <c r="B58" s="1">
        <v>1</v>
      </c>
      <c r="C58" s="1">
        <v>1</v>
      </c>
      <c r="D58" s="1">
        <v>12.5</v>
      </c>
      <c r="E58" s="1">
        <v>1</v>
      </c>
      <c r="F58" s="1">
        <v>8</v>
      </c>
      <c r="G58" s="1">
        <f t="shared" si="39"/>
        <v>1</v>
      </c>
      <c r="H58" s="1">
        <v>0</v>
      </c>
      <c r="I58" s="2" cm="1">
        <f t="array" ref="I58">SPDAM(D58,E58,F58)</f>
        <v>100</v>
      </c>
      <c r="J58" s="3" cm="1">
        <f t="array" ref="J58">SPDAM(D58,E58,G58)</f>
        <v>12.5</v>
      </c>
      <c r="K58" s="2">
        <f t="shared" si="40"/>
        <v>0</v>
      </c>
      <c r="L58" s="3">
        <f t="shared" si="41"/>
        <v>0</v>
      </c>
      <c r="M58" s="2">
        <f>I58+K58</f>
        <v>100</v>
      </c>
      <c r="N58" s="3">
        <f>J58+L58</f>
        <v>12.5</v>
      </c>
      <c r="O58">
        <v>1</v>
      </c>
      <c r="R58" s="5" t="s">
        <v>14</v>
      </c>
      <c r="S58" s="1">
        <v>1</v>
      </c>
      <c r="T58" s="1">
        <v>1</v>
      </c>
      <c r="U58" s="1">
        <v>0</v>
      </c>
      <c r="V58" s="1">
        <v>1</v>
      </c>
      <c r="W58" s="1">
        <v>5</v>
      </c>
      <c r="X58" s="1">
        <f t="shared" si="42"/>
        <v>1</v>
      </c>
      <c r="Y58" s="1">
        <f>0.075*2.5</f>
        <v>0.1875</v>
      </c>
      <c r="Z58" s="2" cm="1">
        <f t="array" ref="Z58">SPDAM(U58,V58,W58)</f>
        <v>0</v>
      </c>
      <c r="AA58" s="3" cm="1">
        <f t="array" ref="AA58">SPDAM(U58,V58,X58)</f>
        <v>0</v>
      </c>
      <c r="AB58" s="2">
        <f t="shared" si="43"/>
        <v>0.9375</v>
      </c>
      <c r="AC58" s="3">
        <f t="shared" si="44"/>
        <v>0.1875</v>
      </c>
      <c r="AD58" s="2">
        <f>Z58+AB58</f>
        <v>0.9375</v>
      </c>
      <c r="AE58" s="3">
        <f>AA58+AC58</f>
        <v>0.1875</v>
      </c>
      <c r="AF58">
        <v>1</v>
      </c>
    </row>
    <row r="59" spans="1:32">
      <c r="A59" s="5" t="s">
        <v>15</v>
      </c>
      <c r="B59" s="1">
        <v>1</v>
      </c>
      <c r="C59" s="1">
        <v>1</v>
      </c>
      <c r="D59" s="1">
        <v>10</v>
      </c>
      <c r="E59" s="1">
        <v>1</v>
      </c>
      <c r="F59" s="1">
        <v>6</v>
      </c>
      <c r="G59" s="1">
        <f t="shared" si="39"/>
        <v>1</v>
      </c>
      <c r="H59" s="1">
        <f>0.025*2.5</f>
        <v>6.25E-2</v>
      </c>
      <c r="I59" s="2" cm="1">
        <f t="array" ref="I59">SPDAM(D59,E59,F59)</f>
        <v>60</v>
      </c>
      <c r="J59" s="3" cm="1">
        <f t="array" ref="J59">SPDAM(D59,E59,G59)</f>
        <v>10</v>
      </c>
      <c r="K59" s="2">
        <f t="shared" si="40"/>
        <v>0.375</v>
      </c>
      <c r="L59" s="3">
        <f t="shared" si="41"/>
        <v>6.25E-2</v>
      </c>
      <c r="R59" s="5" t="s">
        <v>15</v>
      </c>
      <c r="S59" s="1">
        <v>1</v>
      </c>
      <c r="T59" s="1">
        <v>1</v>
      </c>
      <c r="U59" s="1">
        <v>70</v>
      </c>
      <c r="V59" s="1">
        <v>0.7</v>
      </c>
      <c r="W59" s="1">
        <v>3</v>
      </c>
      <c r="X59" s="1">
        <f t="shared" si="42"/>
        <v>1</v>
      </c>
      <c r="Y59" s="1">
        <f>0.04*3</f>
        <v>0.12</v>
      </c>
      <c r="Z59" s="2" cm="1">
        <f t="array" ref="Z59">SPDAM(U59,V59,W59)</f>
        <v>153.29999999999998</v>
      </c>
      <c r="AA59" s="3" cm="1">
        <f t="array" ref="AA59">SPDAM(U59,V59,X59)</f>
        <v>70</v>
      </c>
      <c r="AB59" s="2">
        <f t="shared" si="43"/>
        <v>0.36</v>
      </c>
      <c r="AC59" s="3">
        <f t="shared" si="44"/>
        <v>0.12</v>
      </c>
    </row>
    <row r="60" spans="1:32">
      <c r="A60" s="5" t="s">
        <v>16</v>
      </c>
      <c r="B60" s="1">
        <v>1</v>
      </c>
      <c r="C60" s="1">
        <v>1</v>
      </c>
      <c r="D60" s="1">
        <v>10</v>
      </c>
      <c r="E60" s="1">
        <v>1</v>
      </c>
      <c r="F60" s="1">
        <v>7</v>
      </c>
      <c r="G60" s="1">
        <f t="shared" si="39"/>
        <v>1</v>
      </c>
      <c r="H60" s="1">
        <f>0.025*2.5</f>
        <v>6.25E-2</v>
      </c>
      <c r="I60" s="2" cm="1">
        <f t="array" ref="I60">SPDAM(D60,E60,F60)</f>
        <v>70</v>
      </c>
      <c r="J60" s="3" cm="1">
        <f t="array" ref="J60">SPDAM(D60,E60,G60)</f>
        <v>10</v>
      </c>
      <c r="K60" s="2">
        <f t="shared" si="40"/>
        <v>0.4375</v>
      </c>
      <c r="L60" s="3">
        <f t="shared" si="41"/>
        <v>6.25E-2</v>
      </c>
      <c r="M60" s="11">
        <v>0</v>
      </c>
      <c r="R60" s="5" t="s">
        <v>16</v>
      </c>
      <c r="S60" s="1">
        <v>240</v>
      </c>
      <c r="T60" s="1">
        <v>30</v>
      </c>
      <c r="U60" s="1">
        <v>30</v>
      </c>
      <c r="V60" s="1">
        <v>0.8</v>
      </c>
      <c r="W60" s="1">
        <v>20</v>
      </c>
      <c r="X60" s="1">
        <f t="shared" si="42"/>
        <v>8</v>
      </c>
      <c r="Y60" s="1">
        <f>0.04*2</f>
        <v>0.08</v>
      </c>
      <c r="Z60" s="2" cm="1">
        <f t="array" ref="Z60">SPDAM(U60,V60,W60)</f>
        <v>148.27061774308973</v>
      </c>
      <c r="AA60" s="3" cm="1">
        <f t="array" ref="AA60">SPDAM(U60,V60,X60)</f>
        <v>124.83417600000001</v>
      </c>
      <c r="AB60" s="2">
        <f t="shared" si="43"/>
        <v>1.6</v>
      </c>
      <c r="AC60" s="3">
        <f t="shared" si="44"/>
        <v>0.64</v>
      </c>
      <c r="AD60" s="11">
        <v>0</v>
      </c>
    </row>
    <row r="61" spans="1:32">
      <c r="A61" s="5" t="s">
        <v>17</v>
      </c>
      <c r="B61" s="1">
        <v>1</v>
      </c>
      <c r="C61" s="1">
        <v>1</v>
      </c>
      <c r="D61" s="1">
        <v>100</v>
      </c>
      <c r="E61" s="1">
        <v>0.9</v>
      </c>
      <c r="F61" s="1">
        <v>2.2000000000000002</v>
      </c>
      <c r="G61" s="1">
        <f t="shared" si="39"/>
        <v>1</v>
      </c>
      <c r="H61" s="1">
        <f>0.2*2.5</f>
        <v>0.5</v>
      </c>
      <c r="I61" s="2" cm="1">
        <f t="array" ref="I61">SPDAM(D61,E61,F61)</f>
        <v>206.88982648760884</v>
      </c>
      <c r="J61" s="3" cm="1">
        <f t="array" ref="J61">SPDAM(D61,E61,G61)</f>
        <v>100</v>
      </c>
      <c r="K61" s="2">
        <f t="shared" si="40"/>
        <v>1.1000000000000001</v>
      </c>
      <c r="L61" s="3">
        <f t="shared" si="41"/>
        <v>0.5</v>
      </c>
      <c r="M61" s="11">
        <v>0</v>
      </c>
      <c r="R61" s="5" t="s">
        <v>17</v>
      </c>
      <c r="S61" s="1">
        <v>1</v>
      </c>
      <c r="T61" s="1">
        <v>1</v>
      </c>
      <c r="U61" s="1">
        <v>100</v>
      </c>
      <c r="V61" s="1">
        <v>0.75</v>
      </c>
      <c r="W61" s="1">
        <v>2.5</v>
      </c>
      <c r="X61" s="1">
        <f t="shared" si="42"/>
        <v>1</v>
      </c>
      <c r="Y61" s="1">
        <f>0.05*3</f>
        <v>0.15000000000000002</v>
      </c>
      <c r="Z61" s="2" cm="1">
        <f t="array" ref="Z61">SPDAM(U61,V61,W61)</f>
        <v>205.1442841485013</v>
      </c>
      <c r="AA61" s="3" cm="1">
        <f t="array" ref="AA61">SPDAM(U61,V61,X61)</f>
        <v>100</v>
      </c>
      <c r="AB61" s="2">
        <f t="shared" si="43"/>
        <v>0.37500000000000006</v>
      </c>
      <c r="AC61" s="3">
        <f t="shared" si="44"/>
        <v>0.15000000000000002</v>
      </c>
      <c r="AD61" s="11">
        <v>0</v>
      </c>
    </row>
    <row r="62" spans="1:32">
      <c r="A62" s="5" t="s">
        <v>18</v>
      </c>
      <c r="B62" s="1">
        <v>20</v>
      </c>
      <c r="C62" s="1">
        <v>1</v>
      </c>
      <c r="D62" s="1">
        <v>12.5</v>
      </c>
      <c r="E62" s="1">
        <v>1</v>
      </c>
      <c r="F62" s="1">
        <v>20</v>
      </c>
      <c r="G62" s="1">
        <f t="shared" si="39"/>
        <v>20</v>
      </c>
      <c r="H62" s="1">
        <v>0</v>
      </c>
      <c r="I62" s="2" cm="1">
        <f t="array" ref="I62">SPDAM(D62,E62,F62)</f>
        <v>250</v>
      </c>
      <c r="J62" s="3" cm="1">
        <f t="array" ref="J62">SPDAM(D62,E62,G62)</f>
        <v>250</v>
      </c>
      <c r="K62" s="2">
        <f t="shared" si="40"/>
        <v>0</v>
      </c>
      <c r="L62" s="3">
        <f t="shared" si="41"/>
        <v>0</v>
      </c>
      <c r="R62" s="5" t="s">
        <v>18</v>
      </c>
      <c r="S62" s="1">
        <v>1</v>
      </c>
      <c r="T62" s="1">
        <v>1</v>
      </c>
      <c r="U62" s="1">
        <v>60</v>
      </c>
      <c r="V62" s="1">
        <v>0.8</v>
      </c>
      <c r="W62" s="1">
        <v>15</v>
      </c>
      <c r="X62" s="1">
        <f t="shared" si="42"/>
        <v>1</v>
      </c>
      <c r="Y62" s="1"/>
      <c r="Z62" s="2" cm="1">
        <f t="array" ref="Z62">SPDAM(U62,V62,W62)</f>
        <v>289.44468837335046</v>
      </c>
      <c r="AA62" s="3" cm="1">
        <f t="array" ref="AA62">SPDAM(U62,V62,X62)</f>
        <v>60</v>
      </c>
      <c r="AB62" s="2">
        <f t="shared" si="43"/>
        <v>0</v>
      </c>
      <c r="AC62" s="3">
        <f t="shared" si="44"/>
        <v>0</v>
      </c>
    </row>
    <row r="63" spans="1:32">
      <c r="A63" s="9" t="s">
        <v>28</v>
      </c>
      <c r="B63" s="10">
        <v>950</v>
      </c>
      <c r="C63" s="10">
        <v>3</v>
      </c>
      <c r="D63" s="10"/>
      <c r="E63" s="10">
        <v>1</v>
      </c>
      <c r="F63" s="10">
        <v>1.2</v>
      </c>
      <c r="G63" s="10">
        <v>1</v>
      </c>
      <c r="H63" s="10"/>
      <c r="I63" s="2"/>
      <c r="J63" s="3"/>
      <c r="K63" s="2"/>
      <c r="L63" s="3"/>
      <c r="R63" s="9" t="s">
        <v>28</v>
      </c>
      <c r="S63" s="10">
        <v>750</v>
      </c>
      <c r="T63" s="10">
        <v>5</v>
      </c>
      <c r="U63" s="10"/>
      <c r="V63" s="10">
        <v>1</v>
      </c>
      <c r="W63" s="10">
        <v>1.2</v>
      </c>
      <c r="X63" s="10">
        <v>1</v>
      </c>
      <c r="Y63" s="10"/>
      <c r="Z63" s="2"/>
      <c r="AA63" s="3"/>
      <c r="AB63" s="2"/>
      <c r="AC63" s="3"/>
    </row>
    <row r="64" spans="1:32">
      <c r="S64" s="1">
        <v>1</v>
      </c>
      <c r="T64" s="1">
        <v>1</v>
      </c>
      <c r="U64" s="1">
        <v>30</v>
      </c>
      <c r="V64" s="1">
        <v>0.9</v>
      </c>
      <c r="W64" s="1">
        <v>10</v>
      </c>
      <c r="X64" s="1">
        <f t="shared" ref="X64" si="45">MIN(S64/T64,W64)</f>
        <v>1</v>
      </c>
      <c r="Y64" s="1">
        <f>0.1*3</f>
        <v>0.30000000000000004</v>
      </c>
      <c r="Z64" s="2" cm="1">
        <f t="array" ref="Z64">SPDAM(U64,V64,W64)</f>
        <v>195.39646797</v>
      </c>
      <c r="AA64" s="3" cm="1">
        <f t="array" ref="AA64">SPDAM(U64,V64,X64)</f>
        <v>30</v>
      </c>
      <c r="AB64" s="2">
        <f t="shared" ref="AB64" si="46">W64*Y64</f>
        <v>3.0000000000000004</v>
      </c>
      <c r="AC64" s="3">
        <f t="shared" ref="AC64" si="47">X64*Y64</f>
        <v>0.30000000000000004</v>
      </c>
    </row>
    <row r="66" spans="1:14">
      <c r="A66" s="26" t="s">
        <v>67</v>
      </c>
      <c r="B66" s="4" t="s">
        <v>12</v>
      </c>
      <c r="C66" s="4" t="s">
        <v>2</v>
      </c>
      <c r="D66" s="4" t="s">
        <v>1</v>
      </c>
      <c r="E66" s="4" t="s">
        <v>3</v>
      </c>
      <c r="F66" s="4" t="s">
        <v>4</v>
      </c>
      <c r="G66" s="4" t="s">
        <v>8</v>
      </c>
      <c r="H66" s="4" t="s">
        <v>11</v>
      </c>
      <c r="I66" s="4" t="s">
        <v>9</v>
      </c>
      <c r="J66" s="4" t="s">
        <v>10</v>
      </c>
      <c r="K66" s="4" t="s">
        <v>19</v>
      </c>
      <c r="L66" s="4" t="s">
        <v>20</v>
      </c>
    </row>
    <row r="67" spans="1:14">
      <c r="A67" s="5" t="s">
        <v>5</v>
      </c>
      <c r="B67" s="1">
        <v>1</v>
      </c>
      <c r="C67" s="1">
        <v>1</v>
      </c>
      <c r="D67" s="1">
        <v>40</v>
      </c>
      <c r="E67" s="1">
        <v>0.5</v>
      </c>
      <c r="F67" s="1">
        <v>2</v>
      </c>
      <c r="G67" s="1">
        <f t="shared" ref="G67:G75" si="48">MIN(B67/C67,F67)</f>
        <v>1</v>
      </c>
      <c r="H67" s="1">
        <v>0</v>
      </c>
      <c r="I67" s="2" cm="1">
        <f t="array" ref="I67">SPDAM(D67,E67,F67)</f>
        <v>60</v>
      </c>
      <c r="J67" s="3" cm="1">
        <f t="array" ref="J67">SPDAM(D67,E67,G67)</f>
        <v>40</v>
      </c>
      <c r="K67" s="2">
        <f t="shared" ref="K67:K75" si="49">F67*H67</f>
        <v>0</v>
      </c>
      <c r="L67" s="3">
        <f>0.01*2</f>
        <v>0.02</v>
      </c>
    </row>
    <row r="68" spans="1:14">
      <c r="A68" s="5" t="s">
        <v>6</v>
      </c>
      <c r="B68" s="1">
        <v>1</v>
      </c>
      <c r="C68" s="1">
        <v>1</v>
      </c>
      <c r="D68" s="1">
        <v>60</v>
      </c>
      <c r="E68" s="1">
        <v>0.5</v>
      </c>
      <c r="F68" s="1">
        <v>2.5</v>
      </c>
      <c r="G68" s="1">
        <f t="shared" si="48"/>
        <v>1</v>
      </c>
      <c r="H68" s="1">
        <f>0.1*2.5</f>
        <v>0.25</v>
      </c>
      <c r="I68" s="2" cm="1">
        <f t="array" ref="I68">SPDAM(D68,E68,F68)</f>
        <v>98.786796564403573</v>
      </c>
      <c r="J68" s="3" cm="1">
        <f t="array" ref="J68">SPDAM(D68,E68,G68)</f>
        <v>60</v>
      </c>
      <c r="K68" s="2">
        <f t="shared" si="49"/>
        <v>0.625</v>
      </c>
      <c r="L68" s="3">
        <f>0.05*2</f>
        <v>0.1</v>
      </c>
    </row>
    <row r="69" spans="1:14">
      <c r="A69" s="5" t="s">
        <v>7</v>
      </c>
      <c r="B69" s="1">
        <v>120</v>
      </c>
      <c r="C69" s="1">
        <v>30</v>
      </c>
      <c r="D69" s="1">
        <f>10</f>
        <v>10</v>
      </c>
      <c r="E69" s="1">
        <v>0.92500000000000004</v>
      </c>
      <c r="F69" s="1">
        <v>666</v>
      </c>
      <c r="G69" s="1">
        <f t="shared" si="48"/>
        <v>4</v>
      </c>
      <c r="H69" s="1">
        <v>0</v>
      </c>
      <c r="I69" s="2" cm="1">
        <f t="array" ref="I69">SPDAM(D69,E69,F69)</f>
        <v>133.33333333333331</v>
      </c>
      <c r="J69" s="3" cm="1">
        <f t="array" ref="J69">SPDAM(D69,E69,G69)</f>
        <v>35.720781250000002</v>
      </c>
      <c r="K69" s="2">
        <f t="shared" si="49"/>
        <v>0</v>
      </c>
      <c r="L69" s="3">
        <f t="shared" ref="L69:L75" si="50">G69*H69</f>
        <v>0</v>
      </c>
      <c r="M69" s="11">
        <v>0</v>
      </c>
    </row>
    <row r="70" spans="1:14">
      <c r="A70" s="5" t="s">
        <v>13</v>
      </c>
      <c r="B70" s="1">
        <f>120*2.5</f>
        <v>300</v>
      </c>
      <c r="C70" s="1">
        <v>300</v>
      </c>
      <c r="D70" s="1">
        <v>50</v>
      </c>
      <c r="E70" s="1">
        <v>1</v>
      </c>
      <c r="F70" s="1">
        <v>6</v>
      </c>
      <c r="G70" s="1">
        <f t="shared" si="48"/>
        <v>1</v>
      </c>
      <c r="H70" s="1">
        <v>50</v>
      </c>
      <c r="I70" s="2" cm="1">
        <f t="array" ref="I70">SPDAM(D70,E70,F70)</f>
        <v>300</v>
      </c>
      <c r="J70" s="3" cm="1">
        <f t="array" ref="J70">SPDAM(D70,E70,G70)</f>
        <v>50</v>
      </c>
      <c r="K70" s="2">
        <f t="shared" si="49"/>
        <v>300</v>
      </c>
      <c r="L70" s="3">
        <f t="shared" si="50"/>
        <v>50</v>
      </c>
      <c r="M70" s="11">
        <v>0</v>
      </c>
    </row>
    <row r="71" spans="1:14">
      <c r="A71" s="5" t="s">
        <v>14</v>
      </c>
      <c r="B71" s="1">
        <v>3</v>
      </c>
      <c r="C71" s="1">
        <v>1</v>
      </c>
      <c r="D71" s="1">
        <v>22</v>
      </c>
      <c r="E71" s="1">
        <v>1</v>
      </c>
      <c r="F71" s="1">
        <v>3</v>
      </c>
      <c r="G71" s="1">
        <f t="shared" si="48"/>
        <v>3</v>
      </c>
      <c r="H71" s="1">
        <v>22</v>
      </c>
      <c r="I71" s="2" cm="1">
        <f t="array" ref="I71">SPDAM(D71,E71,F71)</f>
        <v>66</v>
      </c>
      <c r="J71" s="3" cm="1">
        <f t="array" ref="J71">SPDAM(D71,E71,G71)</f>
        <v>66</v>
      </c>
      <c r="K71" s="2">
        <f t="shared" si="49"/>
        <v>66</v>
      </c>
      <c r="L71" s="3">
        <f t="shared" si="50"/>
        <v>66</v>
      </c>
      <c r="M71" s="2">
        <f>I71+K71</f>
        <v>132</v>
      </c>
      <c r="N71" s="3">
        <f>J71+L71</f>
        <v>132</v>
      </c>
    </row>
    <row r="72" spans="1:14">
      <c r="A72" s="5" t="s">
        <v>15</v>
      </c>
      <c r="B72" s="1">
        <v>1</v>
      </c>
      <c r="C72" s="1">
        <v>1</v>
      </c>
      <c r="D72" s="1">
        <v>80</v>
      </c>
      <c r="E72" s="1">
        <v>0.5</v>
      </c>
      <c r="F72" s="1">
        <v>3</v>
      </c>
      <c r="G72" s="1">
        <f t="shared" si="48"/>
        <v>1</v>
      </c>
      <c r="H72" s="1">
        <f>0.1*3</f>
        <v>0.30000000000000004</v>
      </c>
      <c r="I72" s="2" cm="1">
        <f t="array" ref="I72">SPDAM(D72,E72,F72)</f>
        <v>140</v>
      </c>
      <c r="J72" s="3" cm="1">
        <f t="array" ref="J72">SPDAM(D72,E72,G72)</f>
        <v>80</v>
      </c>
      <c r="K72" s="2">
        <f t="shared" si="49"/>
        <v>0.90000000000000013</v>
      </c>
      <c r="L72" s="3">
        <f t="shared" si="50"/>
        <v>0.30000000000000004</v>
      </c>
    </row>
    <row r="73" spans="1:14">
      <c r="A73" s="5" t="s">
        <v>16</v>
      </c>
      <c r="B73" s="1">
        <v>1</v>
      </c>
      <c r="C73" s="1">
        <v>1</v>
      </c>
      <c r="D73" s="1">
        <f>33*6</f>
        <v>198</v>
      </c>
      <c r="E73" s="1">
        <v>0.8</v>
      </c>
      <c r="F73" s="1">
        <v>2.2000000000000002</v>
      </c>
      <c r="G73" s="1">
        <f t="shared" si="48"/>
        <v>1</v>
      </c>
      <c r="H73" s="1">
        <f>33*6</f>
        <v>198</v>
      </c>
      <c r="I73" s="2" cm="1">
        <f t="array" ref="I73">SPDAM(D73,E73,F73)</f>
        <v>384.05505613303262</v>
      </c>
      <c r="J73" s="3" cm="1">
        <f t="array" ref="J73">SPDAM(D73,E73,G73)</f>
        <v>198</v>
      </c>
      <c r="K73" s="2">
        <f t="shared" si="49"/>
        <v>435.6</v>
      </c>
      <c r="L73" s="3">
        <f t="shared" si="50"/>
        <v>198</v>
      </c>
      <c r="M73" s="11">
        <v>0</v>
      </c>
    </row>
    <row r="74" spans="1:14">
      <c r="A74" s="5" t="s">
        <v>17</v>
      </c>
      <c r="B74" s="1">
        <v>1</v>
      </c>
      <c r="C74" s="1">
        <v>1</v>
      </c>
      <c r="D74" s="1">
        <v>130</v>
      </c>
      <c r="E74" s="1">
        <v>0.95</v>
      </c>
      <c r="F74" s="1">
        <v>2.5</v>
      </c>
      <c r="G74" s="1">
        <f t="shared" si="48"/>
        <v>1</v>
      </c>
      <c r="H74" s="1">
        <f>0.05*3</f>
        <v>0.15000000000000002</v>
      </c>
      <c r="I74" s="2" cm="1">
        <f t="array" ref="I74">SPDAM(D74,E74,F74)</f>
        <v>312.91470699057663</v>
      </c>
      <c r="J74" s="3" cm="1">
        <f t="array" ref="J74">SPDAM(D74,E74,G74)</f>
        <v>130</v>
      </c>
      <c r="K74" s="2">
        <f t="shared" si="49"/>
        <v>0.37500000000000006</v>
      </c>
      <c r="L74" s="3">
        <f t="shared" si="50"/>
        <v>0.15000000000000002</v>
      </c>
      <c r="M74" s="11">
        <v>0</v>
      </c>
    </row>
    <row r="75" spans="1:14">
      <c r="A75" s="5" t="s">
        <v>18</v>
      </c>
      <c r="B75" s="1">
        <f>120*1.5</f>
        <v>180</v>
      </c>
      <c r="C75" s="1">
        <v>40</v>
      </c>
      <c r="D75" s="1">
        <v>22</v>
      </c>
      <c r="E75" s="1">
        <v>0.95</v>
      </c>
      <c r="F75" s="1">
        <v>100</v>
      </c>
      <c r="G75" s="1">
        <f t="shared" si="48"/>
        <v>4.5</v>
      </c>
      <c r="H75" s="1"/>
      <c r="I75" s="2" cm="1">
        <f t="array" ref="I75">SPDAM(D75,E75,F75)</f>
        <v>437.39496714305261</v>
      </c>
      <c r="J75" s="3" cm="1">
        <f t="array" ref="J75">SPDAM(D75,E75,G75)</f>
        <v>90.691703902291522</v>
      </c>
      <c r="K75" s="2">
        <f t="shared" si="49"/>
        <v>0</v>
      </c>
      <c r="L75" s="3">
        <f t="shared" si="50"/>
        <v>0</v>
      </c>
    </row>
    <row r="76" spans="1:14">
      <c r="A76" s="9" t="s">
        <v>28</v>
      </c>
      <c r="B76" s="10">
        <v>880</v>
      </c>
      <c r="C76" s="10">
        <v>4</v>
      </c>
      <c r="D76" s="10"/>
      <c r="E76" s="10">
        <v>1</v>
      </c>
      <c r="F76" s="10">
        <v>1.1000000000000001</v>
      </c>
      <c r="G76" s="10">
        <v>1</v>
      </c>
      <c r="H76" s="10"/>
      <c r="I76" s="2"/>
      <c r="J76" s="3"/>
      <c r="K76" s="2"/>
      <c r="L76" s="3"/>
    </row>
    <row r="77" spans="1:14">
      <c r="B77" s="1">
        <v>1</v>
      </c>
      <c r="C77" s="1">
        <v>1</v>
      </c>
      <c r="D77" s="1">
        <v>30</v>
      </c>
      <c r="E77" s="1">
        <v>0.9</v>
      </c>
      <c r="F77" s="1">
        <v>10</v>
      </c>
      <c r="G77" s="1">
        <f t="shared" ref="G77" si="51">MIN(B77/C77,F77)</f>
        <v>1</v>
      </c>
      <c r="H77" s="1">
        <f>0.1*3</f>
        <v>0.30000000000000004</v>
      </c>
      <c r="I77" s="2" cm="1">
        <f t="array" ref="I77">SPDAM(D77,E77,F77)</f>
        <v>195.39646797</v>
      </c>
      <c r="J77" s="3" cm="1">
        <f t="array" ref="J77">SPDAM(D77,E77,G77)</f>
        <v>30</v>
      </c>
      <c r="K77" s="2">
        <f t="shared" ref="K77" si="52">F77*H77</f>
        <v>3.0000000000000004</v>
      </c>
      <c r="L77" s="3">
        <f t="shared" ref="L77" si="53">G77*H77</f>
        <v>0.30000000000000004</v>
      </c>
    </row>
    <row r="93" spans="1:31">
      <c r="A93" s="6" t="s">
        <v>33</v>
      </c>
      <c r="B93" s="4" t="s">
        <v>12</v>
      </c>
      <c r="C93" s="4" t="s">
        <v>2</v>
      </c>
      <c r="D93" s="4" t="s">
        <v>1</v>
      </c>
      <c r="E93" s="4" t="s">
        <v>3</v>
      </c>
      <c r="F93" s="4" t="s">
        <v>4</v>
      </c>
      <c r="G93" s="4" t="s">
        <v>8</v>
      </c>
      <c r="H93" s="4" t="s">
        <v>11</v>
      </c>
      <c r="I93" s="4" t="s">
        <v>9</v>
      </c>
      <c r="J93" s="4" t="s">
        <v>10</v>
      </c>
      <c r="K93" s="4" t="s">
        <v>19</v>
      </c>
      <c r="L93" s="4" t="s">
        <v>20</v>
      </c>
      <c r="M93" s="15" t="s">
        <v>9</v>
      </c>
      <c r="N93" s="14" t="s">
        <v>36</v>
      </c>
      <c r="R93" s="6" t="s">
        <v>37</v>
      </c>
      <c r="S93" s="4" t="s">
        <v>12</v>
      </c>
      <c r="T93" s="4" t="s">
        <v>2</v>
      </c>
      <c r="U93" s="4" t="s">
        <v>1</v>
      </c>
      <c r="V93" s="4" t="s">
        <v>3</v>
      </c>
      <c r="W93" s="4" t="s">
        <v>4</v>
      </c>
      <c r="X93" s="4" t="s">
        <v>8</v>
      </c>
      <c r="Y93" s="4" t="s">
        <v>11</v>
      </c>
      <c r="Z93" s="4" t="s">
        <v>9</v>
      </c>
      <c r="AA93" s="4" t="s">
        <v>10</v>
      </c>
      <c r="AB93" s="4" t="s">
        <v>19</v>
      </c>
      <c r="AC93" s="4" t="s">
        <v>20</v>
      </c>
      <c r="AD93" s="15" t="s">
        <v>9</v>
      </c>
      <c r="AE93" s="14" t="s">
        <v>36</v>
      </c>
    </row>
    <row r="94" spans="1:31">
      <c r="A94" s="5" t="s">
        <v>5</v>
      </c>
      <c r="B94" s="1">
        <v>1</v>
      </c>
      <c r="C94" s="1">
        <v>1</v>
      </c>
      <c r="D94" s="1">
        <f>33*8</f>
        <v>264</v>
      </c>
      <c r="E94" s="1">
        <v>1</v>
      </c>
      <c r="F94" s="1">
        <v>1.2</v>
      </c>
      <c r="G94" s="1">
        <f t="shared" ref="G94:G101" si="54">MIN(B94/C94,F94)</f>
        <v>1</v>
      </c>
      <c r="H94" s="1">
        <v>0</v>
      </c>
      <c r="I94" s="2" cm="1">
        <f t="array" ref="I94">SPDAM(D94,E94,F94)</f>
        <v>316.8</v>
      </c>
      <c r="J94" s="3" cm="1">
        <f t="array" ref="J94">SPDAM(D94,E94,G94)</f>
        <v>264</v>
      </c>
      <c r="K94" s="2">
        <f t="shared" ref="K94:K102" si="55">F94*H94</f>
        <v>0</v>
      </c>
      <c r="L94" s="3">
        <f t="shared" ref="L94:L102" si="56">G94*H94</f>
        <v>0</v>
      </c>
      <c r="M94" s="13">
        <f>I94+N94</f>
        <v>316.8</v>
      </c>
      <c r="N94" s="11">
        <v>0</v>
      </c>
      <c r="R94" s="5" t="s">
        <v>5</v>
      </c>
      <c r="S94" s="1">
        <v>1</v>
      </c>
      <c r="T94" s="1">
        <v>1</v>
      </c>
      <c r="U94" s="1">
        <v>0</v>
      </c>
      <c r="V94" s="1">
        <v>1</v>
      </c>
      <c r="W94" s="1">
        <v>1</v>
      </c>
      <c r="X94" s="1">
        <f t="shared" ref="X94:X102" si="57">MIN(S94/T94,W94)</f>
        <v>1</v>
      </c>
      <c r="Y94" s="1">
        <v>0</v>
      </c>
      <c r="Z94" s="2" cm="1">
        <f t="array" ref="Z94">SPDAM(U94,V94,W94)</f>
        <v>0</v>
      </c>
      <c r="AA94" s="3" cm="1">
        <f t="array" ref="AA94">SPDAM(U94,V94,X94)</f>
        <v>0</v>
      </c>
      <c r="AB94" s="2">
        <f t="shared" ref="AB94:AB102" si="58">W94*Y94</f>
        <v>0</v>
      </c>
      <c r="AC94" s="3">
        <f t="shared" ref="AC94:AC102" si="59">X94*Y94</f>
        <v>0</v>
      </c>
      <c r="AD94" s="13">
        <f>Z94+AE94</f>
        <v>0</v>
      </c>
      <c r="AE94" s="11">
        <v>0</v>
      </c>
    </row>
    <row r="95" spans="1:31">
      <c r="A95" s="12" t="s">
        <v>6</v>
      </c>
      <c r="B95" s="1">
        <v>1</v>
      </c>
      <c r="C95" s="1">
        <v>1</v>
      </c>
      <c r="D95" s="1">
        <v>200</v>
      </c>
      <c r="E95" s="1">
        <v>0.9</v>
      </c>
      <c r="F95" s="1">
        <v>6</v>
      </c>
      <c r="G95" s="1">
        <f t="shared" si="54"/>
        <v>1</v>
      </c>
      <c r="H95" s="1">
        <v>0</v>
      </c>
      <c r="I95" s="2" cm="1">
        <f t="array" ref="I95">SPDAM(D95,E95,F95)</f>
        <v>937.11800000000017</v>
      </c>
      <c r="J95" s="3" cm="1">
        <f t="array" ref="J95">SPDAM(D95,E95,G95)</f>
        <v>200</v>
      </c>
      <c r="K95" s="2">
        <f t="shared" si="55"/>
        <v>0</v>
      </c>
      <c r="L95" s="3">
        <f t="shared" si="56"/>
        <v>0</v>
      </c>
      <c r="M95" s="13">
        <f t="shared" ref="M95:M102" si="60">I95+N95</f>
        <v>937.11800000000017</v>
      </c>
      <c r="N95" s="11">
        <v>0</v>
      </c>
      <c r="R95" s="12" t="s">
        <v>6</v>
      </c>
      <c r="S95" s="1">
        <v>1</v>
      </c>
      <c r="T95" s="1">
        <v>1</v>
      </c>
      <c r="U95" s="1">
        <v>0</v>
      </c>
      <c r="V95" s="1">
        <v>1</v>
      </c>
      <c r="W95" s="1">
        <v>1</v>
      </c>
      <c r="X95" s="1">
        <f t="shared" si="57"/>
        <v>1</v>
      </c>
      <c r="Y95" s="1">
        <v>0</v>
      </c>
      <c r="Z95" s="2" cm="1">
        <f t="array" ref="Z95">SPDAM(U95,V95,W95)</f>
        <v>0</v>
      </c>
      <c r="AA95" s="3" cm="1">
        <f t="array" ref="AA95">SPDAM(U95,V95,X95)</f>
        <v>0</v>
      </c>
      <c r="AB95" s="2">
        <f t="shared" si="58"/>
        <v>0</v>
      </c>
      <c r="AC95" s="3">
        <f t="shared" si="59"/>
        <v>0</v>
      </c>
      <c r="AD95" s="13">
        <f t="shared" ref="AD95:AD102" si="61">Z95+AE95</f>
        <v>0</v>
      </c>
      <c r="AE95" s="11">
        <v>0</v>
      </c>
    </row>
    <row r="96" spans="1:31">
      <c r="A96" s="5" t="s">
        <v>7</v>
      </c>
      <c r="B96" s="1">
        <v>60</v>
      </c>
      <c r="C96" s="1">
        <v>25</v>
      </c>
      <c r="D96" s="1">
        <v>25</v>
      </c>
      <c r="E96" s="1">
        <v>0.9</v>
      </c>
      <c r="F96" s="1">
        <v>12</v>
      </c>
      <c r="G96" s="1">
        <f t="shared" si="54"/>
        <v>2.4</v>
      </c>
      <c r="H96" s="1">
        <v>0</v>
      </c>
      <c r="I96" s="2" cm="1">
        <f t="array" ref="I96">SPDAM(D96,E96,F96)</f>
        <v>179.39261587975</v>
      </c>
      <c r="J96" s="3" cm="1">
        <f t="array" ref="J96">SPDAM(D96,E96,G96)</f>
        <v>55.856868108377995</v>
      </c>
      <c r="K96" s="2">
        <f t="shared" si="55"/>
        <v>0</v>
      </c>
      <c r="L96" s="3">
        <f t="shared" si="56"/>
        <v>0</v>
      </c>
      <c r="M96" s="13">
        <f t="shared" si="60"/>
        <v>429.39261587975</v>
      </c>
      <c r="N96" s="11">
        <v>250</v>
      </c>
      <c r="R96" s="5" t="s">
        <v>7</v>
      </c>
      <c r="S96" s="1">
        <v>1</v>
      </c>
      <c r="T96" s="1">
        <v>1</v>
      </c>
      <c r="U96" s="1">
        <v>0</v>
      </c>
      <c r="V96" s="1">
        <v>1</v>
      </c>
      <c r="W96" s="1">
        <v>1</v>
      </c>
      <c r="X96" s="1">
        <f t="shared" si="57"/>
        <v>1</v>
      </c>
      <c r="Y96" s="1">
        <v>0</v>
      </c>
      <c r="Z96" s="2" cm="1">
        <f t="array" ref="Z96">SPDAM(U96,V96,W96)</f>
        <v>0</v>
      </c>
      <c r="AA96" s="3" cm="1">
        <f t="array" ref="AA96">SPDAM(U96,V96,X96)</f>
        <v>0</v>
      </c>
      <c r="AB96" s="2">
        <f t="shared" si="58"/>
        <v>0</v>
      </c>
      <c r="AC96" s="3">
        <f t="shared" si="59"/>
        <v>0</v>
      </c>
      <c r="AD96" s="13">
        <f t="shared" si="61"/>
        <v>250</v>
      </c>
      <c r="AE96" s="11">
        <v>250</v>
      </c>
    </row>
    <row r="97" spans="1:31">
      <c r="A97" s="12" t="s">
        <v>13</v>
      </c>
      <c r="B97" s="1">
        <v>1.5</v>
      </c>
      <c r="C97" s="1">
        <v>1</v>
      </c>
      <c r="D97" s="1">
        <v>600</v>
      </c>
      <c r="E97" s="1">
        <v>1</v>
      </c>
      <c r="F97" s="1">
        <v>1</v>
      </c>
      <c r="G97" s="1">
        <f t="shared" si="54"/>
        <v>1</v>
      </c>
      <c r="H97" s="1">
        <v>0</v>
      </c>
      <c r="I97" s="2" cm="1">
        <f t="array" ref="I97">SPDAM(D97,E97,F97)</f>
        <v>600</v>
      </c>
      <c r="J97" s="3" cm="1">
        <f t="array" ref="J97">SPDAM(D97,E97,G97)</f>
        <v>600</v>
      </c>
      <c r="K97" s="2">
        <f t="shared" si="55"/>
        <v>0</v>
      </c>
      <c r="L97" s="3">
        <f t="shared" si="56"/>
        <v>0</v>
      </c>
      <c r="M97" s="13">
        <f t="shared" si="60"/>
        <v>1050</v>
      </c>
      <c r="N97" s="11">
        <v>450</v>
      </c>
      <c r="R97" s="5" t="s">
        <v>13</v>
      </c>
      <c r="S97" s="1">
        <v>1</v>
      </c>
      <c r="T97" s="1">
        <v>1</v>
      </c>
      <c r="U97" s="1">
        <v>0</v>
      </c>
      <c r="V97" s="1">
        <v>1</v>
      </c>
      <c r="W97" s="1">
        <v>1</v>
      </c>
      <c r="X97" s="1">
        <f t="shared" si="57"/>
        <v>1</v>
      </c>
      <c r="Y97" s="1">
        <v>0</v>
      </c>
      <c r="Z97" s="2" cm="1">
        <f t="array" ref="Z97">SPDAM(U97,V97,W97)</f>
        <v>0</v>
      </c>
      <c r="AA97" s="3" cm="1">
        <f t="array" ref="AA97">SPDAM(U97,V97,X97)</f>
        <v>0</v>
      </c>
      <c r="AB97" s="2">
        <f t="shared" si="58"/>
        <v>0</v>
      </c>
      <c r="AC97" s="3">
        <f t="shared" si="59"/>
        <v>0</v>
      </c>
      <c r="AD97" s="13">
        <f t="shared" si="61"/>
        <v>450</v>
      </c>
      <c r="AE97" s="11">
        <v>450</v>
      </c>
    </row>
    <row r="98" spans="1:31">
      <c r="A98" s="5" t="s">
        <v>14</v>
      </c>
      <c r="B98" s="1">
        <v>5</v>
      </c>
      <c r="C98" s="1">
        <v>1</v>
      </c>
      <c r="D98" s="1">
        <v>8</v>
      </c>
      <c r="E98" s="1">
        <v>1</v>
      </c>
      <c r="F98" s="1">
        <f>5*6</f>
        <v>30</v>
      </c>
      <c r="G98" s="1">
        <f t="shared" si="54"/>
        <v>5</v>
      </c>
      <c r="H98" s="1">
        <v>0.05</v>
      </c>
      <c r="I98" s="2" cm="1">
        <f t="array" ref="I98">SPDAM(D98,E98,F98)</f>
        <v>240</v>
      </c>
      <c r="J98" s="3" cm="1">
        <f t="array" ref="J98">SPDAM(D98,E98,G98)</f>
        <v>40</v>
      </c>
      <c r="K98" s="2">
        <f t="shared" si="55"/>
        <v>1.5</v>
      </c>
      <c r="L98" s="3">
        <f t="shared" si="56"/>
        <v>0.25</v>
      </c>
      <c r="M98" s="13">
        <f t="shared" si="60"/>
        <v>240</v>
      </c>
      <c r="N98" s="11">
        <v>0</v>
      </c>
      <c r="O98" t="s">
        <v>34</v>
      </c>
      <c r="R98" s="5" t="s">
        <v>14</v>
      </c>
      <c r="S98" s="1">
        <v>1</v>
      </c>
      <c r="T98" s="1">
        <v>1</v>
      </c>
      <c r="U98" s="1">
        <v>0</v>
      </c>
      <c r="V98" s="1">
        <v>1</v>
      </c>
      <c r="W98" s="1">
        <v>1</v>
      </c>
      <c r="X98" s="1">
        <f t="shared" si="57"/>
        <v>1</v>
      </c>
      <c r="Y98" s="1">
        <v>0</v>
      </c>
      <c r="Z98" s="2" cm="1">
        <f t="array" ref="Z98">SPDAM(U98,V98,W98)</f>
        <v>0</v>
      </c>
      <c r="AA98" s="3" cm="1">
        <f t="array" ref="AA98">SPDAM(U98,V98,X98)</f>
        <v>0</v>
      </c>
      <c r="AB98" s="2">
        <f t="shared" si="58"/>
        <v>0</v>
      </c>
      <c r="AC98" s="3">
        <f t="shared" si="59"/>
        <v>0</v>
      </c>
      <c r="AD98" s="13">
        <f t="shared" si="61"/>
        <v>0</v>
      </c>
      <c r="AE98" s="11">
        <v>0</v>
      </c>
    </row>
    <row r="99" spans="1:31">
      <c r="A99" s="12" t="s">
        <v>15</v>
      </c>
      <c r="B99" s="1">
        <v>1</v>
      </c>
      <c r="C99" s="1">
        <v>1</v>
      </c>
      <c r="D99" s="1">
        <v>250</v>
      </c>
      <c r="E99" s="1">
        <v>0.9</v>
      </c>
      <c r="F99" s="1">
        <v>6.5</v>
      </c>
      <c r="G99" s="1">
        <f t="shared" si="54"/>
        <v>1</v>
      </c>
      <c r="H99" s="1">
        <v>0.3</v>
      </c>
      <c r="I99" s="2" cm="1">
        <f t="array" ref="I99">SPDAM(D99,E99,F99)</f>
        <v>1239.5769985018424</v>
      </c>
      <c r="J99" s="3" cm="1">
        <f t="array" ref="J99">SPDAM(D99,E99,G99)</f>
        <v>250</v>
      </c>
      <c r="K99" s="2">
        <f t="shared" si="55"/>
        <v>1.95</v>
      </c>
      <c r="L99" s="3">
        <f t="shared" si="56"/>
        <v>0.3</v>
      </c>
      <c r="M99" s="13">
        <f t="shared" si="60"/>
        <v>1239.5769985018424</v>
      </c>
      <c r="N99" s="11">
        <v>0</v>
      </c>
      <c r="R99" s="12" t="s">
        <v>15</v>
      </c>
      <c r="S99" s="1">
        <v>1</v>
      </c>
      <c r="T99" s="1">
        <v>1</v>
      </c>
      <c r="U99" s="1">
        <v>0</v>
      </c>
      <c r="V99" s="1">
        <v>1</v>
      </c>
      <c r="W99" s="1">
        <v>1</v>
      </c>
      <c r="X99" s="1">
        <f t="shared" si="57"/>
        <v>1</v>
      </c>
      <c r="Y99" s="1">
        <v>0</v>
      </c>
      <c r="Z99" s="2" cm="1">
        <f t="array" ref="Z99">SPDAM(U99,V99,W99)</f>
        <v>0</v>
      </c>
      <c r="AA99" s="3" cm="1">
        <f t="array" ref="AA99">SPDAM(U99,V99,X99)</f>
        <v>0</v>
      </c>
      <c r="AB99" s="2">
        <f t="shared" si="58"/>
        <v>0</v>
      </c>
      <c r="AC99" s="3">
        <f t="shared" si="59"/>
        <v>0</v>
      </c>
      <c r="AD99" s="13">
        <f t="shared" si="61"/>
        <v>0</v>
      </c>
      <c r="AE99" s="11">
        <v>0</v>
      </c>
    </row>
    <row r="100" spans="1:31">
      <c r="A100" s="5" t="s">
        <v>16</v>
      </c>
      <c r="B100" s="1">
        <v>1</v>
      </c>
      <c r="C100" s="1">
        <v>1</v>
      </c>
      <c r="D100" s="1">
        <v>100</v>
      </c>
      <c r="E100" s="1">
        <v>0.95</v>
      </c>
      <c r="F100" s="1">
        <v>10</v>
      </c>
      <c r="G100" s="1">
        <f t="shared" si="54"/>
        <v>1</v>
      </c>
      <c r="H100" s="1">
        <v>0.4</v>
      </c>
      <c r="I100" s="2" cm="1">
        <f t="array" ref="I100">SPDAM(D100,E100,F100)</f>
        <v>802.52612152324195</v>
      </c>
      <c r="J100" s="3" cm="1">
        <f t="array" ref="J100">SPDAM(D100,E100,G100)</f>
        <v>100</v>
      </c>
      <c r="K100" s="2">
        <f t="shared" si="55"/>
        <v>4</v>
      </c>
      <c r="L100" s="3">
        <f t="shared" si="56"/>
        <v>0.4</v>
      </c>
      <c r="M100" s="13">
        <f t="shared" si="60"/>
        <v>1402.526121523242</v>
      </c>
      <c r="N100" s="11">
        <v>600</v>
      </c>
      <c r="R100" s="5" t="s">
        <v>16</v>
      </c>
      <c r="S100" s="1">
        <v>1</v>
      </c>
      <c r="T100" s="1">
        <v>1</v>
      </c>
      <c r="U100" s="1">
        <v>0</v>
      </c>
      <c r="V100" s="1">
        <v>1</v>
      </c>
      <c r="W100" s="1">
        <v>1</v>
      </c>
      <c r="X100" s="1">
        <f t="shared" si="57"/>
        <v>1</v>
      </c>
      <c r="Y100" s="1">
        <v>0</v>
      </c>
      <c r="Z100" s="2" cm="1">
        <f t="array" ref="Z100">SPDAM(U100,V100,W100)</f>
        <v>0</v>
      </c>
      <c r="AA100" s="3" cm="1">
        <f t="array" ref="AA100">SPDAM(U100,V100,X100)</f>
        <v>0</v>
      </c>
      <c r="AB100" s="2">
        <f t="shared" si="58"/>
        <v>0</v>
      </c>
      <c r="AC100" s="3">
        <f t="shared" si="59"/>
        <v>0</v>
      </c>
      <c r="AD100" s="13">
        <f t="shared" si="61"/>
        <v>600</v>
      </c>
      <c r="AE100" s="11">
        <v>600</v>
      </c>
    </row>
    <row r="101" spans="1:31">
      <c r="A101" s="5" t="s">
        <v>17</v>
      </c>
      <c r="B101" s="1">
        <v>1</v>
      </c>
      <c r="C101" s="1">
        <v>1</v>
      </c>
      <c r="D101" s="1">
        <v>270</v>
      </c>
      <c r="E101" s="1">
        <v>0.9</v>
      </c>
      <c r="F101" s="1">
        <v>7</v>
      </c>
      <c r="G101" s="1">
        <f t="shared" si="54"/>
        <v>1</v>
      </c>
      <c r="H101" s="1">
        <f>0.5*3</f>
        <v>1.5</v>
      </c>
      <c r="I101" s="2" cm="1">
        <f t="array" ref="I101">SPDAM(D101,E101,F101)</f>
        <v>1408.5983699999999</v>
      </c>
      <c r="J101" s="3" cm="1">
        <f t="array" ref="J101">SPDAM(D101,E101,G101)</f>
        <v>270</v>
      </c>
      <c r="K101" s="2">
        <f t="shared" si="55"/>
        <v>10.5</v>
      </c>
      <c r="L101" s="3">
        <f t="shared" si="56"/>
        <v>1.5</v>
      </c>
      <c r="M101" s="13">
        <f t="shared" si="60"/>
        <v>2158.5983699999997</v>
      </c>
      <c r="N101" s="11">
        <v>750</v>
      </c>
      <c r="R101" s="5" t="s">
        <v>17</v>
      </c>
      <c r="S101" s="1">
        <v>1</v>
      </c>
      <c r="T101" s="1">
        <v>1</v>
      </c>
      <c r="U101" s="1">
        <v>0</v>
      </c>
      <c r="V101" s="1">
        <v>1</v>
      </c>
      <c r="W101" s="1">
        <v>1</v>
      </c>
      <c r="X101" s="1">
        <f t="shared" si="57"/>
        <v>1</v>
      </c>
      <c r="Y101" s="1">
        <v>0</v>
      </c>
      <c r="Z101" s="2" cm="1">
        <f t="array" ref="Z101">SPDAM(U101,V101,W101)</f>
        <v>0</v>
      </c>
      <c r="AA101" s="3" cm="1">
        <f t="array" ref="AA101">SPDAM(U101,V101,X101)</f>
        <v>0</v>
      </c>
      <c r="AB101" s="2">
        <f t="shared" si="58"/>
        <v>0</v>
      </c>
      <c r="AC101" s="3">
        <f t="shared" si="59"/>
        <v>0</v>
      </c>
      <c r="AD101" s="13">
        <f t="shared" si="61"/>
        <v>750</v>
      </c>
      <c r="AE101" s="11">
        <v>750</v>
      </c>
    </row>
    <row r="102" spans="1:31">
      <c r="A102" s="5" t="s">
        <v>35</v>
      </c>
      <c r="B102" s="1">
        <v>1</v>
      </c>
      <c r="C102" s="1">
        <v>1</v>
      </c>
      <c r="D102" s="1">
        <v>1</v>
      </c>
      <c r="E102" s="1">
        <v>0.9</v>
      </c>
      <c r="F102" s="1">
        <v>7</v>
      </c>
      <c r="G102" s="1">
        <f t="shared" ref="G102" si="62">MIN(B102/C102,F102)</f>
        <v>1</v>
      </c>
      <c r="H102" s="1">
        <v>0.5</v>
      </c>
      <c r="I102" s="2" cm="1">
        <f t="array" ref="I102">SPDAM(D102,E102,F102)</f>
        <v>5.2170310000000004</v>
      </c>
      <c r="J102" s="3" cm="1">
        <f t="array" ref="J102">SPDAM(D102,E102,H102)</f>
        <v>0.51316701949486188</v>
      </c>
      <c r="K102" s="2">
        <f t="shared" si="55"/>
        <v>3.5</v>
      </c>
      <c r="L102" s="3">
        <f t="shared" si="56"/>
        <v>0.5</v>
      </c>
      <c r="M102" s="13">
        <f t="shared" si="60"/>
        <v>755.21703100000002</v>
      </c>
      <c r="N102" s="11">
        <v>750</v>
      </c>
      <c r="R102" s="5" t="s">
        <v>18</v>
      </c>
      <c r="S102" s="1">
        <v>1</v>
      </c>
      <c r="T102" s="1">
        <v>1</v>
      </c>
      <c r="U102" s="1">
        <v>0</v>
      </c>
      <c r="V102" s="1">
        <v>1</v>
      </c>
      <c r="W102" s="1">
        <v>1</v>
      </c>
      <c r="X102" s="1">
        <f t="shared" si="57"/>
        <v>1</v>
      </c>
      <c r="Y102" s="1">
        <v>0</v>
      </c>
      <c r="Z102" s="2" cm="1">
        <f t="array" ref="Z102">SPDAM(U102,V102,W102)</f>
        <v>0</v>
      </c>
      <c r="AA102" s="3" cm="1">
        <f t="array" ref="AA102">SPDAM(U102,V102,Y102)</f>
        <v>0</v>
      </c>
      <c r="AB102" s="2">
        <f t="shared" si="58"/>
        <v>0</v>
      </c>
      <c r="AC102" s="3">
        <f t="shared" si="59"/>
        <v>0</v>
      </c>
      <c r="AD102" s="13">
        <f t="shared" si="61"/>
        <v>750</v>
      </c>
      <c r="AE102" s="11">
        <v>750</v>
      </c>
    </row>
    <row r="103" spans="1:31">
      <c r="A103" s="9" t="s">
        <v>28</v>
      </c>
      <c r="B103" s="10">
        <v>8000</v>
      </c>
      <c r="C103" s="10">
        <v>5</v>
      </c>
      <c r="D103" s="10"/>
      <c r="E103" s="10">
        <v>1</v>
      </c>
      <c r="F103" s="10">
        <v>1.3</v>
      </c>
      <c r="G103" s="10">
        <v>1</v>
      </c>
      <c r="H103" s="10"/>
      <c r="I103" s="2"/>
      <c r="J103" s="3"/>
      <c r="K103" s="2"/>
      <c r="L103" s="3"/>
      <c r="M103" s="13"/>
      <c r="N103" s="11"/>
      <c r="R103" s="9" t="s">
        <v>28</v>
      </c>
      <c r="S103" s="10">
        <v>6500</v>
      </c>
      <c r="T103" s="10">
        <v>5</v>
      </c>
      <c r="U103" s="10"/>
      <c r="V103" s="10">
        <v>1</v>
      </c>
      <c r="W103" s="10">
        <v>1</v>
      </c>
      <c r="X103" s="10">
        <v>1</v>
      </c>
      <c r="Y103" s="10"/>
      <c r="Z103" s="2"/>
      <c r="AA103" s="3"/>
      <c r="AB103" s="2"/>
      <c r="AC103" s="3"/>
      <c r="AD103" s="13"/>
      <c r="AE103" s="11"/>
    </row>
    <row r="106" spans="1:31">
      <c r="A106" s="6" t="s">
        <v>38</v>
      </c>
      <c r="B106" s="4" t="s">
        <v>12</v>
      </c>
      <c r="C106" s="4" t="s">
        <v>2</v>
      </c>
      <c r="D106" s="4" t="s">
        <v>1</v>
      </c>
      <c r="E106" s="4" t="s">
        <v>3</v>
      </c>
      <c r="F106" s="4" t="s">
        <v>4</v>
      </c>
      <c r="G106" s="4" t="s">
        <v>8</v>
      </c>
      <c r="H106" s="4" t="s">
        <v>11</v>
      </c>
      <c r="I106" s="4" t="s">
        <v>9</v>
      </c>
      <c r="J106" s="4" t="s">
        <v>10</v>
      </c>
      <c r="K106" s="4" t="s">
        <v>19</v>
      </c>
      <c r="L106" s="4" t="s">
        <v>20</v>
      </c>
      <c r="R106" s="16" t="s">
        <v>39</v>
      </c>
      <c r="S106" s="4" t="s">
        <v>12</v>
      </c>
      <c r="T106" s="4" t="s">
        <v>2</v>
      </c>
      <c r="U106" s="4" t="s">
        <v>1</v>
      </c>
      <c r="V106" s="4" t="s">
        <v>3</v>
      </c>
      <c r="W106" s="4" t="s">
        <v>4</v>
      </c>
      <c r="X106" s="4" t="s">
        <v>8</v>
      </c>
      <c r="Y106" s="4" t="s">
        <v>11</v>
      </c>
      <c r="Z106" s="4" t="s">
        <v>9</v>
      </c>
      <c r="AA106" s="4" t="s">
        <v>10</v>
      </c>
      <c r="AB106" s="4" t="s">
        <v>19</v>
      </c>
      <c r="AC106" s="4" t="s">
        <v>20</v>
      </c>
      <c r="AD106" s="15" t="s">
        <v>9</v>
      </c>
      <c r="AE106" s="14" t="s">
        <v>36</v>
      </c>
    </row>
    <row r="107" spans="1:31">
      <c r="A107" s="5" t="s">
        <v>5</v>
      </c>
      <c r="B107" s="1">
        <v>1</v>
      </c>
      <c r="C107" s="1">
        <v>1</v>
      </c>
      <c r="D107" s="1">
        <f>25*4</f>
        <v>100</v>
      </c>
      <c r="E107" s="1">
        <v>0.8</v>
      </c>
      <c r="F107" s="1">
        <v>2.5</v>
      </c>
      <c r="G107" s="1">
        <f t="shared" ref="G107:G114" si="63">MIN(B107/C107,F107)</f>
        <v>1</v>
      </c>
      <c r="H107" s="1">
        <f>10*4</f>
        <v>40</v>
      </c>
      <c r="I107" s="2" cm="1">
        <f t="array" ref="I107">SPDAM(D107,E107,F107)</f>
        <v>213.78329888002696</v>
      </c>
      <c r="J107" s="3" cm="1">
        <f t="array" ref="J107">SPDAM(D107,E107,G107)</f>
        <v>100</v>
      </c>
      <c r="K107" s="2">
        <f t="shared" ref="K107:K115" si="64">F107*H107</f>
        <v>100</v>
      </c>
      <c r="L107" s="3">
        <f t="shared" ref="L107:L115" si="65">G107*H107</f>
        <v>40</v>
      </c>
      <c r="M107" s="2">
        <f>I107+K107</f>
        <v>313.78329888002696</v>
      </c>
      <c r="N107" s="3">
        <f>J107+L107</f>
        <v>140</v>
      </c>
      <c r="O107" s="13">
        <f>M107+P107</f>
        <v>313.78329888002696</v>
      </c>
      <c r="P107" s="11">
        <v>0</v>
      </c>
      <c r="R107" s="5" t="s">
        <v>5</v>
      </c>
      <c r="S107" s="1">
        <v>1</v>
      </c>
      <c r="T107" s="1">
        <v>1</v>
      </c>
      <c r="U107" s="1">
        <v>66</v>
      </c>
      <c r="V107" s="1">
        <v>0.9</v>
      </c>
      <c r="W107" s="1">
        <v>6</v>
      </c>
      <c r="X107" s="1">
        <f t="shared" ref="X107:X115" si="66">MIN(S107/T107,W107)</f>
        <v>1</v>
      </c>
      <c r="Y107" s="1">
        <v>0</v>
      </c>
      <c r="Z107" s="2" cm="1">
        <f t="array" ref="Z107">SPDAM(U107,V107,W107)</f>
        <v>309.24894</v>
      </c>
      <c r="AA107" s="3" cm="1">
        <f t="array" ref="AA107">SPDAM(U107,V107,X107)</f>
        <v>66</v>
      </c>
      <c r="AB107" s="2">
        <f t="shared" ref="AB107:AB115" si="67">W107*Y107</f>
        <v>0</v>
      </c>
      <c r="AC107" s="3">
        <f t="shared" ref="AC107:AC115" si="68">X107*Y107</f>
        <v>0</v>
      </c>
      <c r="AD107" s="13">
        <f>Z107+AE107</f>
        <v>309.24894</v>
      </c>
      <c r="AE107" s="11">
        <v>0</v>
      </c>
    </row>
    <row r="108" spans="1:31">
      <c r="A108" s="5" t="s">
        <v>6</v>
      </c>
      <c r="B108" s="1">
        <v>1</v>
      </c>
      <c r="C108" s="1">
        <v>1</v>
      </c>
      <c r="D108" s="1">
        <v>200</v>
      </c>
      <c r="E108" s="1">
        <v>0.9</v>
      </c>
      <c r="F108" s="1">
        <v>6</v>
      </c>
      <c r="G108" s="1">
        <f t="shared" si="63"/>
        <v>1</v>
      </c>
      <c r="H108" s="1">
        <v>0.3</v>
      </c>
      <c r="I108" s="2" cm="1">
        <f t="array" ref="I108">SPDAM(D108,E108,F108)</f>
        <v>937.11800000000017</v>
      </c>
      <c r="J108" s="3" cm="1">
        <f t="array" ref="J108">SPDAM(D108,E108,G108)</f>
        <v>200</v>
      </c>
      <c r="K108" s="2">
        <f t="shared" si="64"/>
        <v>1.7999999999999998</v>
      </c>
      <c r="L108" s="3">
        <f t="shared" si="65"/>
        <v>0.3</v>
      </c>
      <c r="M108" s="2">
        <f>I108</f>
        <v>937.11800000000017</v>
      </c>
      <c r="N108" s="3">
        <f>J108+L108</f>
        <v>200.3</v>
      </c>
      <c r="O108" s="13">
        <f t="shared" ref="O108:O115" si="69">M108+P108</f>
        <v>937.11800000000017</v>
      </c>
      <c r="P108" s="11">
        <v>0</v>
      </c>
      <c r="R108" s="12" t="s">
        <v>6</v>
      </c>
      <c r="S108" s="1">
        <v>1</v>
      </c>
      <c r="T108" s="1">
        <v>1</v>
      </c>
      <c r="U108" s="1">
        <v>333</v>
      </c>
      <c r="V108" s="1">
        <v>0.9</v>
      </c>
      <c r="W108" s="1">
        <v>3.5</v>
      </c>
      <c r="X108" s="1">
        <f t="shared" si="66"/>
        <v>1</v>
      </c>
      <c r="Y108" s="1">
        <v>0</v>
      </c>
      <c r="Z108" s="2" cm="1">
        <f t="array" ref="Z108">SPDAM(U108,V108,W108)</f>
        <v>1027.0048861515143</v>
      </c>
      <c r="AA108" s="3" cm="1">
        <f t="array" ref="AA108">SPDAM(U108,V108,X108)</f>
        <v>333</v>
      </c>
      <c r="AB108" s="2">
        <f t="shared" si="67"/>
        <v>0</v>
      </c>
      <c r="AC108" s="3">
        <f t="shared" si="68"/>
        <v>0</v>
      </c>
      <c r="AD108" s="13">
        <f t="shared" ref="AD108:AD115" si="70">Z108+AE108</f>
        <v>1027.0048861515143</v>
      </c>
      <c r="AE108" s="11">
        <v>0</v>
      </c>
    </row>
    <row r="109" spans="1:31">
      <c r="A109" s="5" t="s">
        <v>7</v>
      </c>
      <c r="B109" s="1">
        <v>1</v>
      </c>
      <c r="C109" s="1">
        <v>1</v>
      </c>
      <c r="D109" s="1">
        <v>60</v>
      </c>
      <c r="E109" s="1">
        <v>0.9</v>
      </c>
      <c r="F109" s="1">
        <v>8</v>
      </c>
      <c r="G109" s="1">
        <f t="shared" si="63"/>
        <v>1</v>
      </c>
      <c r="H109" s="1">
        <v>25</v>
      </c>
      <c r="I109" s="2" cm="1">
        <f t="array" ref="I109">SPDAM(D109,E109,F109)</f>
        <v>341.719674</v>
      </c>
      <c r="J109" s="3" cm="1">
        <f t="array" ref="J109">SPDAM(D109,E109,G109)</f>
        <v>60</v>
      </c>
      <c r="K109" s="2">
        <f t="shared" si="64"/>
        <v>200</v>
      </c>
      <c r="L109" s="3">
        <f t="shared" si="65"/>
        <v>25</v>
      </c>
      <c r="M109" s="2">
        <f>I109+K109</f>
        <v>541.71967399999994</v>
      </c>
      <c r="N109" s="3">
        <f>J109+L109</f>
        <v>85</v>
      </c>
      <c r="O109" s="13">
        <f t="shared" si="69"/>
        <v>841.71967399999994</v>
      </c>
      <c r="P109" s="11">
        <v>300</v>
      </c>
      <c r="R109" s="5" t="s">
        <v>7</v>
      </c>
      <c r="S109" s="1">
        <v>60</v>
      </c>
      <c r="T109" s="1">
        <v>5</v>
      </c>
      <c r="U109" s="1">
        <v>20</v>
      </c>
      <c r="V109" s="1">
        <v>0.9</v>
      </c>
      <c r="W109" s="1">
        <v>24</v>
      </c>
      <c r="X109" s="1">
        <f t="shared" si="66"/>
        <v>12</v>
      </c>
      <c r="Y109" s="1">
        <v>0</v>
      </c>
      <c r="Z109" s="2" cm="1">
        <f t="array" ref="Z109">SPDAM(U109,V109,W109)</f>
        <v>184.04671138462552</v>
      </c>
      <c r="AA109" s="3" cm="1">
        <f t="array" ref="AA109">SPDAM(U109,V109,X109)</f>
        <v>143.5140927038</v>
      </c>
      <c r="AB109" s="2">
        <f t="shared" si="67"/>
        <v>0</v>
      </c>
      <c r="AC109" s="3">
        <f t="shared" si="68"/>
        <v>0</v>
      </c>
      <c r="AD109" s="13">
        <f t="shared" si="70"/>
        <v>384.0467113846255</v>
      </c>
      <c r="AE109" s="11">
        <v>200</v>
      </c>
    </row>
    <row r="110" spans="1:31">
      <c r="A110" s="5" t="s">
        <v>13</v>
      </c>
      <c r="B110" s="1">
        <v>1</v>
      </c>
      <c r="C110" s="1">
        <v>1</v>
      </c>
      <c r="D110" s="1">
        <v>120</v>
      </c>
      <c r="E110" s="1">
        <v>1</v>
      </c>
      <c r="F110" s="1">
        <v>6.5</v>
      </c>
      <c r="G110" s="1">
        <f t="shared" si="63"/>
        <v>1</v>
      </c>
      <c r="H110" s="1">
        <v>60</v>
      </c>
      <c r="I110" s="2" cm="1">
        <f t="array" ref="I110">SPDAM(D110,E110,F110)</f>
        <v>780</v>
      </c>
      <c r="J110" s="3" cm="1">
        <f t="array" ref="J110">SPDAM(D110,E110,G110)</f>
        <v>120</v>
      </c>
      <c r="K110" s="2">
        <f t="shared" si="64"/>
        <v>390</v>
      </c>
      <c r="L110" s="3">
        <f t="shared" si="65"/>
        <v>60</v>
      </c>
      <c r="M110" s="2">
        <f>I110+K110</f>
        <v>1170</v>
      </c>
      <c r="N110" s="3">
        <f>J110+L110</f>
        <v>180</v>
      </c>
      <c r="O110" s="13">
        <f t="shared" si="69"/>
        <v>1620</v>
      </c>
      <c r="P110" s="11">
        <v>450</v>
      </c>
      <c r="R110" s="5" t="s">
        <v>13</v>
      </c>
      <c r="S110" s="1">
        <v>12</v>
      </c>
      <c r="T110" s="1">
        <v>1</v>
      </c>
      <c r="U110" s="1">
        <v>22</v>
      </c>
      <c r="V110" s="1">
        <v>1</v>
      </c>
      <c r="W110" s="1">
        <v>12</v>
      </c>
      <c r="X110" s="1">
        <f t="shared" si="66"/>
        <v>12</v>
      </c>
      <c r="Y110" s="1">
        <v>7.4999999999999997E-2</v>
      </c>
      <c r="Z110" s="2" cm="1">
        <f t="array" ref="Z110">SPDAM(U110,V110,W110)</f>
        <v>264</v>
      </c>
      <c r="AA110" s="3" cm="1">
        <f t="array" ref="AA110">SPDAM(U110,V110,X110)</f>
        <v>264</v>
      </c>
      <c r="AB110" s="2">
        <f t="shared" si="67"/>
        <v>0.89999999999999991</v>
      </c>
      <c r="AC110" s="3">
        <f t="shared" si="68"/>
        <v>0.89999999999999991</v>
      </c>
      <c r="AD110" s="13">
        <f t="shared" si="70"/>
        <v>664</v>
      </c>
      <c r="AE110" s="11">
        <v>400</v>
      </c>
    </row>
    <row r="111" spans="1:31">
      <c r="A111" s="5" t="s">
        <v>14</v>
      </c>
      <c r="B111" s="1">
        <v>6</v>
      </c>
      <c r="C111" s="1">
        <v>1</v>
      </c>
      <c r="D111" s="1">
        <v>30</v>
      </c>
      <c r="E111" s="1">
        <v>1</v>
      </c>
      <c r="F111" s="1">
        <v>6</v>
      </c>
      <c r="G111" s="1">
        <f t="shared" si="63"/>
        <v>6</v>
      </c>
      <c r="H111" s="1">
        <v>30</v>
      </c>
      <c r="I111" s="2" cm="1">
        <f t="array" ref="I111">SPDAM(D111,E111,F111)</f>
        <v>180</v>
      </c>
      <c r="J111" s="3" cm="1">
        <f t="array" ref="J111">SPDAM(D111,E111,G111)</f>
        <v>180</v>
      </c>
      <c r="K111" s="2">
        <f t="shared" si="64"/>
        <v>180</v>
      </c>
      <c r="L111" s="3">
        <f t="shared" si="65"/>
        <v>180</v>
      </c>
      <c r="M111" s="2">
        <f>I111+K111</f>
        <v>360</v>
      </c>
      <c r="N111" s="3">
        <f>J111+L111</f>
        <v>360</v>
      </c>
      <c r="O111" s="13">
        <f t="shared" si="69"/>
        <v>360</v>
      </c>
      <c r="P111" s="11">
        <v>0</v>
      </c>
      <c r="R111" s="5" t="s">
        <v>14</v>
      </c>
      <c r="S111" s="1">
        <v>1</v>
      </c>
      <c r="T111" s="1">
        <v>1</v>
      </c>
      <c r="U111" s="1">
        <f>33*8</f>
        <v>264</v>
      </c>
      <c r="V111" s="1">
        <v>1</v>
      </c>
      <c r="W111" s="1">
        <v>1.2</v>
      </c>
      <c r="X111" s="1">
        <f t="shared" si="66"/>
        <v>1</v>
      </c>
      <c r="Y111" s="1">
        <f>0.1*8</f>
        <v>0.8</v>
      </c>
      <c r="Z111" s="2" cm="1">
        <f t="array" ref="Z111">SPDAM(U111,V111,W111)</f>
        <v>316.8</v>
      </c>
      <c r="AA111" s="3" cm="1">
        <f t="array" ref="AA111">SPDAM(U111,V111,X111)</f>
        <v>264</v>
      </c>
      <c r="AB111" s="2">
        <f t="shared" si="67"/>
        <v>0.96</v>
      </c>
      <c r="AC111" s="3">
        <f t="shared" si="68"/>
        <v>0.8</v>
      </c>
      <c r="AD111" s="13">
        <f t="shared" si="70"/>
        <v>316.8</v>
      </c>
      <c r="AE111" s="11">
        <v>0</v>
      </c>
    </row>
    <row r="112" spans="1:31">
      <c r="A112" s="12" t="s">
        <v>15</v>
      </c>
      <c r="B112" s="1">
        <v>1</v>
      </c>
      <c r="C112" s="1">
        <v>1</v>
      </c>
      <c r="D112" s="1">
        <v>28</v>
      </c>
      <c r="E112" s="1">
        <v>1</v>
      </c>
      <c r="F112" s="1">
        <v>6</v>
      </c>
      <c r="G112" s="1">
        <f t="shared" si="63"/>
        <v>1</v>
      </c>
      <c r="H112" s="1">
        <v>165</v>
      </c>
      <c r="I112" s="2" cm="1">
        <f t="array" ref="I112">SPDAM(D112,E112,F112)</f>
        <v>168</v>
      </c>
      <c r="J112" s="3" cm="1">
        <f t="array" ref="J112">SPDAM(D112,E112,G112)</f>
        <v>28</v>
      </c>
      <c r="K112" s="2">
        <f t="shared" si="64"/>
        <v>990</v>
      </c>
      <c r="L112" s="3">
        <f t="shared" si="65"/>
        <v>165</v>
      </c>
      <c r="M112" s="2">
        <f t="shared" ref="M112:M114" si="71">I112+K112</f>
        <v>1158</v>
      </c>
      <c r="N112" s="3">
        <f t="shared" ref="N112:N114" si="72">J112+L112</f>
        <v>193</v>
      </c>
      <c r="O112" s="13">
        <f t="shared" si="69"/>
        <v>1158</v>
      </c>
      <c r="P112" s="11">
        <v>0</v>
      </c>
      <c r="R112" s="12" t="s">
        <v>15</v>
      </c>
      <c r="S112" s="1">
        <v>1</v>
      </c>
      <c r="T112" s="1">
        <v>1</v>
      </c>
      <c r="U112" s="1">
        <v>233</v>
      </c>
      <c r="V112" s="1">
        <v>0.95</v>
      </c>
      <c r="W112" s="1">
        <v>7.5</v>
      </c>
      <c r="X112" s="1">
        <f t="shared" si="66"/>
        <v>1</v>
      </c>
      <c r="Y112" s="1">
        <v>0.5</v>
      </c>
      <c r="Z112" s="2" cm="1">
        <f t="array" ref="Z112">SPDAM(U112,V112,W112)</f>
        <v>1488.1476961155422</v>
      </c>
      <c r="AA112" s="3" cm="1">
        <f t="array" ref="AA112">SPDAM(U112,V112,X112)</f>
        <v>233</v>
      </c>
      <c r="AB112" s="2">
        <f t="shared" si="67"/>
        <v>3.75</v>
      </c>
      <c r="AC112" s="3">
        <f t="shared" si="68"/>
        <v>0.5</v>
      </c>
      <c r="AD112" s="13">
        <f t="shared" si="70"/>
        <v>1488.1476961155422</v>
      </c>
      <c r="AE112" s="11">
        <v>0</v>
      </c>
    </row>
    <row r="113" spans="1:31">
      <c r="A113" s="12" t="s">
        <v>16</v>
      </c>
      <c r="B113" s="1">
        <v>1</v>
      </c>
      <c r="C113" s="1">
        <v>1</v>
      </c>
      <c r="D113" s="1">
        <v>200</v>
      </c>
      <c r="E113" s="1">
        <v>0.95</v>
      </c>
      <c r="F113" s="1">
        <v>5</v>
      </c>
      <c r="G113" s="1">
        <f t="shared" si="63"/>
        <v>1</v>
      </c>
      <c r="H113" s="1">
        <v>40</v>
      </c>
      <c r="I113" s="2" cm="1">
        <f t="array" ref="I113">SPDAM(D113,E113,F113)</f>
        <v>904.87625000000025</v>
      </c>
      <c r="J113" s="3" cm="1">
        <f t="array" ref="J113">SPDAM(D113,E113,G113)</f>
        <v>200</v>
      </c>
      <c r="K113" s="2">
        <f t="shared" si="64"/>
        <v>200</v>
      </c>
      <c r="L113" s="3">
        <f t="shared" si="65"/>
        <v>40</v>
      </c>
      <c r="M113" s="2">
        <f t="shared" si="71"/>
        <v>1104.8762500000003</v>
      </c>
      <c r="N113" s="3">
        <f t="shared" si="72"/>
        <v>240</v>
      </c>
      <c r="O113" s="13">
        <f t="shared" si="69"/>
        <v>1804.8762500000003</v>
      </c>
      <c r="P113" s="11">
        <v>700</v>
      </c>
      <c r="R113" s="5" t="s">
        <v>16</v>
      </c>
      <c r="S113" s="1">
        <v>10</v>
      </c>
      <c r="T113" s="1">
        <v>1</v>
      </c>
      <c r="U113" s="1">
        <v>30</v>
      </c>
      <c r="V113" s="1">
        <v>1</v>
      </c>
      <c r="W113" s="1">
        <v>10</v>
      </c>
      <c r="X113" s="1">
        <f t="shared" si="66"/>
        <v>10</v>
      </c>
      <c r="Y113" s="1">
        <f>30*3</f>
        <v>90</v>
      </c>
      <c r="Z113" s="2" cm="1">
        <f t="array" ref="Z113">SPDAM(U113,V113,W113)</f>
        <v>300</v>
      </c>
      <c r="AA113" s="3" cm="1">
        <f t="array" ref="AA113">SPDAM(U113,V113,X113)</f>
        <v>300</v>
      </c>
      <c r="AB113" s="2">
        <f t="shared" si="67"/>
        <v>900</v>
      </c>
      <c r="AC113" s="3">
        <f t="shared" si="68"/>
        <v>900</v>
      </c>
      <c r="AD113" s="13">
        <f t="shared" si="70"/>
        <v>900</v>
      </c>
      <c r="AE113" s="11">
        <v>600</v>
      </c>
    </row>
    <row r="114" spans="1:31">
      <c r="A114" s="12" t="s">
        <v>17</v>
      </c>
      <c r="B114" s="1">
        <v>1</v>
      </c>
      <c r="C114" s="1">
        <v>1</v>
      </c>
      <c r="D114" s="1">
        <v>190</v>
      </c>
      <c r="E114" s="1">
        <v>0.9</v>
      </c>
      <c r="F114" s="1">
        <v>7</v>
      </c>
      <c r="G114" s="1">
        <f t="shared" si="63"/>
        <v>1</v>
      </c>
      <c r="H114" s="1">
        <v>140</v>
      </c>
      <c r="I114" s="2" cm="1">
        <f t="array" ref="I114">SPDAM(D114,E114,F114)</f>
        <v>991.23589000000004</v>
      </c>
      <c r="J114" s="3" cm="1">
        <f t="array" ref="J114">SPDAM(D114,E114,G114)</f>
        <v>190</v>
      </c>
      <c r="K114" s="2">
        <f t="shared" si="64"/>
        <v>980</v>
      </c>
      <c r="L114" s="3">
        <f t="shared" si="65"/>
        <v>140</v>
      </c>
      <c r="M114" s="2">
        <f t="shared" si="71"/>
        <v>1971.2358899999999</v>
      </c>
      <c r="N114" s="3">
        <f t="shared" si="72"/>
        <v>330</v>
      </c>
      <c r="O114" s="13">
        <f t="shared" si="69"/>
        <v>2721.2358899999999</v>
      </c>
      <c r="P114" s="11">
        <v>750</v>
      </c>
      <c r="R114" s="5" t="s">
        <v>17</v>
      </c>
      <c r="S114" s="1">
        <v>1</v>
      </c>
      <c r="T114" s="1">
        <v>1</v>
      </c>
      <c r="U114" s="1">
        <f>36*20</f>
        <v>720</v>
      </c>
      <c r="V114" s="1">
        <v>0.9</v>
      </c>
      <c r="W114" s="1">
        <v>2</v>
      </c>
      <c r="X114" s="1">
        <f t="shared" si="66"/>
        <v>1</v>
      </c>
      <c r="Y114" s="1">
        <f>0.1*20</f>
        <v>2</v>
      </c>
      <c r="Z114" s="2" cm="1">
        <f t="array" ref="Z114">SPDAM(U114,V114,W114)</f>
        <v>1368</v>
      </c>
      <c r="AA114" s="3" cm="1">
        <f t="array" ref="AA114">SPDAM(U114,V114,X114)</f>
        <v>720</v>
      </c>
      <c r="AB114" s="2">
        <f t="shared" si="67"/>
        <v>4</v>
      </c>
      <c r="AC114" s="3">
        <f t="shared" si="68"/>
        <v>2</v>
      </c>
      <c r="AD114" s="13">
        <f t="shared" si="70"/>
        <v>1918</v>
      </c>
      <c r="AE114" s="11">
        <v>550</v>
      </c>
    </row>
    <row r="115" spans="1:31">
      <c r="A115" s="5" t="s">
        <v>18</v>
      </c>
      <c r="B115" s="1">
        <v>1</v>
      </c>
      <c r="C115" s="1">
        <v>1</v>
      </c>
      <c r="D115" s="1">
        <v>1</v>
      </c>
      <c r="E115" s="1">
        <v>0.9</v>
      </c>
      <c r="F115" s="1">
        <v>7</v>
      </c>
      <c r="G115" s="1">
        <f t="shared" ref="G115" si="73">MIN(B115/C115,F115)</f>
        <v>1</v>
      </c>
      <c r="H115" s="1">
        <v>200</v>
      </c>
      <c r="I115" s="2" cm="1">
        <f t="array" ref="I115">SPDAM(D115,E115,F115)</f>
        <v>5.2170310000000004</v>
      </c>
      <c r="J115" s="3" cm="1">
        <f t="array" ref="J115">SPDAM(D115,E115,G115)</f>
        <v>1</v>
      </c>
      <c r="K115" s="2">
        <f t="shared" si="64"/>
        <v>1400</v>
      </c>
      <c r="L115" s="3">
        <f t="shared" si="65"/>
        <v>200</v>
      </c>
      <c r="M115" s="2">
        <f t="shared" ref="M115" si="74">I115+K115</f>
        <v>1405.2170309999999</v>
      </c>
      <c r="N115" s="3">
        <f t="shared" ref="N115" si="75">J115+L115</f>
        <v>201</v>
      </c>
      <c r="O115" s="13">
        <f t="shared" si="69"/>
        <v>2155.2170310000001</v>
      </c>
      <c r="P115" s="11">
        <v>750</v>
      </c>
      <c r="R115" s="5" t="s">
        <v>18</v>
      </c>
      <c r="S115" s="1">
        <v>1</v>
      </c>
      <c r="T115" s="1">
        <v>1</v>
      </c>
      <c r="U115" s="1">
        <v>0</v>
      </c>
      <c r="V115" s="1">
        <v>1</v>
      </c>
      <c r="W115" s="1">
        <v>1</v>
      </c>
      <c r="X115" s="1">
        <f t="shared" si="66"/>
        <v>1</v>
      </c>
      <c r="Y115" s="1">
        <v>0</v>
      </c>
      <c r="Z115" s="2" cm="1">
        <f t="array" ref="Z115">SPDAM(U115,V115,W115)</f>
        <v>0</v>
      </c>
      <c r="AA115" s="3" cm="1">
        <f t="array" ref="AA115">SPDAM(U115,V115,Y115)</f>
        <v>0</v>
      </c>
      <c r="AB115" s="2">
        <f t="shared" si="67"/>
        <v>0</v>
      </c>
      <c r="AC115" s="3">
        <f t="shared" si="68"/>
        <v>0</v>
      </c>
      <c r="AD115" s="13">
        <f t="shared" si="70"/>
        <v>550</v>
      </c>
      <c r="AE115" s="11">
        <v>550</v>
      </c>
    </row>
    <row r="116" spans="1:31">
      <c r="A116" s="9" t="s">
        <v>28</v>
      </c>
      <c r="B116" s="10">
        <v>7300</v>
      </c>
      <c r="C116" s="10">
        <v>6</v>
      </c>
      <c r="D116" s="10"/>
      <c r="E116" s="10">
        <v>1.2</v>
      </c>
      <c r="F116" s="10">
        <v>1</v>
      </c>
      <c r="G116" s="10">
        <v>1</v>
      </c>
      <c r="H116" s="10"/>
      <c r="I116" s="2"/>
      <c r="J116" s="3"/>
      <c r="K116" s="2"/>
      <c r="L116" s="3"/>
      <c r="R116" s="9" t="s">
        <v>28</v>
      </c>
      <c r="S116" s="10">
        <v>6000</v>
      </c>
      <c r="T116" s="10">
        <v>5</v>
      </c>
      <c r="U116" s="10"/>
      <c r="V116" s="10">
        <v>1.05</v>
      </c>
      <c r="W116" s="10">
        <v>1.1000000000000001</v>
      </c>
      <c r="X116" s="10">
        <v>1.2</v>
      </c>
      <c r="Y116" s="10"/>
      <c r="Z116" s="2"/>
      <c r="AA116" s="3"/>
      <c r="AB116" s="2"/>
      <c r="AC116" s="3"/>
      <c r="AD116" s="13"/>
      <c r="AE116" s="11"/>
    </row>
    <row r="119" spans="1:31">
      <c r="A119" s="17" t="s">
        <v>40</v>
      </c>
      <c r="B119" s="4" t="s">
        <v>12</v>
      </c>
      <c r="C119" s="4" t="s">
        <v>2</v>
      </c>
      <c r="D119" s="4" t="s">
        <v>1</v>
      </c>
      <c r="E119" s="4" t="s">
        <v>3</v>
      </c>
      <c r="F119" s="4" t="s">
        <v>4</v>
      </c>
      <c r="G119" s="4" t="s">
        <v>8</v>
      </c>
      <c r="H119" s="4" t="s">
        <v>11</v>
      </c>
      <c r="I119" s="4" t="s">
        <v>9</v>
      </c>
      <c r="J119" s="4" t="s">
        <v>10</v>
      </c>
      <c r="K119" s="4" t="s">
        <v>19</v>
      </c>
      <c r="L119" s="4" t="s">
        <v>20</v>
      </c>
      <c r="M119" s="15" t="s">
        <v>9</v>
      </c>
      <c r="N119" s="14" t="s">
        <v>36</v>
      </c>
      <c r="R119" s="21" t="s">
        <v>43</v>
      </c>
      <c r="S119" s="4" t="s">
        <v>12</v>
      </c>
      <c r="T119" s="4" t="s">
        <v>2</v>
      </c>
      <c r="U119" s="4" t="s">
        <v>1</v>
      </c>
      <c r="V119" s="4" t="s">
        <v>3</v>
      </c>
      <c r="W119" s="4" t="s">
        <v>4</v>
      </c>
      <c r="X119" s="4" t="s">
        <v>8</v>
      </c>
      <c r="Y119" s="4" t="s">
        <v>11</v>
      </c>
      <c r="Z119" s="4" t="s">
        <v>9</v>
      </c>
      <c r="AA119" s="4" t="s">
        <v>10</v>
      </c>
      <c r="AB119" s="4" t="s">
        <v>19</v>
      </c>
      <c r="AC119" s="4" t="s">
        <v>20</v>
      </c>
      <c r="AD119" s="15" t="s">
        <v>9</v>
      </c>
      <c r="AE119" s="14" t="s">
        <v>36</v>
      </c>
    </row>
    <row r="120" spans="1:31">
      <c r="A120" s="5" t="s">
        <v>5</v>
      </c>
      <c r="B120" s="1">
        <v>1</v>
      </c>
      <c r="C120" s="1">
        <v>1</v>
      </c>
      <c r="D120" s="1">
        <f>33*4</f>
        <v>132</v>
      </c>
      <c r="E120" s="1">
        <v>0.9</v>
      </c>
      <c r="F120" s="1">
        <v>2.5</v>
      </c>
      <c r="G120" s="1">
        <f t="shared" ref="G120:G128" si="76">MIN(B120/C120,F120)</f>
        <v>1</v>
      </c>
      <c r="H120" s="1">
        <v>0</v>
      </c>
      <c r="I120" s="2" cm="1">
        <f t="array" ref="I120">SPDAM(D120,E120,F120)</f>
        <v>305.6678177243906</v>
      </c>
      <c r="J120" s="3" cm="1">
        <f t="array" ref="J120">SPDAM(D120,E120,G120)</f>
        <v>132</v>
      </c>
      <c r="K120" s="2">
        <f t="shared" ref="K120:K128" si="77">F120*H120</f>
        <v>0</v>
      </c>
      <c r="L120" s="3">
        <f t="shared" ref="L120:L128" si="78">G120*H120</f>
        <v>0</v>
      </c>
      <c r="M120" s="13">
        <f>I120+N120</f>
        <v>305.6678177243906</v>
      </c>
      <c r="N120" s="11">
        <v>0</v>
      </c>
      <c r="R120" s="5" t="s">
        <v>5</v>
      </c>
      <c r="S120" s="1">
        <v>1</v>
      </c>
      <c r="T120" s="1">
        <v>1</v>
      </c>
      <c r="U120" s="1">
        <f>70*2</f>
        <v>140</v>
      </c>
      <c r="V120" s="1">
        <v>0.9</v>
      </c>
      <c r="W120" s="1">
        <v>2.2999999999999998</v>
      </c>
      <c r="X120" s="1">
        <f t="shared" ref="X120:X128" si="79">MIN(S120/T120,W120)</f>
        <v>1</v>
      </c>
      <c r="Y120" s="1">
        <v>0</v>
      </c>
      <c r="Z120" s="2" cm="1">
        <f t="array" ref="Z120">SPDAM(U120,V120,W120)</f>
        <v>301.28309320230323</v>
      </c>
      <c r="AA120" s="3" cm="1">
        <f t="array" ref="AA120">SPDAM(U120,V120,X120)</f>
        <v>140</v>
      </c>
      <c r="AB120" s="2">
        <f t="shared" ref="AB120:AB128" si="80">W120*Y120</f>
        <v>0</v>
      </c>
      <c r="AC120" s="3">
        <f t="shared" ref="AC120:AC128" si="81">X120*Y120</f>
        <v>0</v>
      </c>
      <c r="AD120" s="13">
        <f>Z120+AE120</f>
        <v>301.28309320230323</v>
      </c>
      <c r="AE120" s="11">
        <v>0</v>
      </c>
    </row>
    <row r="121" spans="1:31">
      <c r="A121" s="12" t="s">
        <v>6</v>
      </c>
      <c r="B121" s="1">
        <v>1</v>
      </c>
      <c r="C121" s="1">
        <v>1</v>
      </c>
      <c r="D121" s="1">
        <v>202</v>
      </c>
      <c r="E121" s="1">
        <v>0.9</v>
      </c>
      <c r="F121" s="1">
        <v>7</v>
      </c>
      <c r="G121" s="1">
        <f t="shared" si="76"/>
        <v>1</v>
      </c>
      <c r="H121" s="1">
        <v>0</v>
      </c>
      <c r="I121" s="2" cm="1">
        <f t="array" ref="I121">SPDAM(D121,E121,F121)</f>
        <v>1053.8402620000002</v>
      </c>
      <c r="J121" s="3" cm="1">
        <f t="array" ref="J121">SPDAM(D121,E121,G121)</f>
        <v>202</v>
      </c>
      <c r="K121" s="2">
        <f t="shared" si="77"/>
        <v>0</v>
      </c>
      <c r="L121" s="3">
        <f t="shared" si="78"/>
        <v>0</v>
      </c>
      <c r="M121" s="13">
        <f t="shared" ref="M121:M128" si="82">I121+N121</f>
        <v>1053.8402620000002</v>
      </c>
      <c r="N121" s="11">
        <v>0</v>
      </c>
      <c r="R121" s="12" t="s">
        <v>6</v>
      </c>
      <c r="S121" s="1">
        <v>1</v>
      </c>
      <c r="T121" s="1">
        <v>1</v>
      </c>
      <c r="U121" s="1">
        <v>193</v>
      </c>
      <c r="V121" s="1">
        <v>0.93</v>
      </c>
      <c r="W121" s="1">
        <v>7</v>
      </c>
      <c r="X121" s="1">
        <f t="shared" si="79"/>
        <v>1</v>
      </c>
      <c r="Y121" s="1">
        <v>0</v>
      </c>
      <c r="Z121" s="2" cm="1">
        <f t="array" ref="Z121">SPDAM(U121,V121,W121)</f>
        <v>1098.1675996105571</v>
      </c>
      <c r="AA121" s="3" cm="1">
        <f t="array" ref="AA121">SPDAM(U121,V121,X121)</f>
        <v>193</v>
      </c>
      <c r="AB121" s="2">
        <f t="shared" si="80"/>
        <v>0</v>
      </c>
      <c r="AC121" s="3">
        <f t="shared" si="81"/>
        <v>0</v>
      </c>
      <c r="AD121" s="13">
        <f t="shared" ref="AD121:AD128" si="83">Z121+AE121</f>
        <v>1098.1675996105571</v>
      </c>
      <c r="AE121" s="11">
        <v>0</v>
      </c>
    </row>
    <row r="122" spans="1:31">
      <c r="A122" s="5" t="s">
        <v>7</v>
      </c>
      <c r="B122" s="1">
        <v>1</v>
      </c>
      <c r="C122" s="1">
        <v>1</v>
      </c>
      <c r="D122" s="1">
        <v>88</v>
      </c>
      <c r="E122" s="1">
        <v>0.8</v>
      </c>
      <c r="F122" s="1">
        <v>6</v>
      </c>
      <c r="G122" s="1">
        <f t="shared" si="76"/>
        <v>1</v>
      </c>
      <c r="H122" s="1">
        <v>7.4999999999999997E-2</v>
      </c>
      <c r="I122" s="2" cm="1">
        <f t="array" ref="I122">SPDAM(D122,E122,F122)</f>
        <v>324.65664000000004</v>
      </c>
      <c r="J122" s="3" cm="1">
        <f t="array" ref="J122">SPDAM(D122,E122,G122)</f>
        <v>88</v>
      </c>
      <c r="K122" s="2">
        <f t="shared" si="77"/>
        <v>0.44999999999999996</v>
      </c>
      <c r="L122" s="3">
        <f t="shared" si="78"/>
        <v>7.4999999999999997E-2</v>
      </c>
      <c r="M122" s="13">
        <f t="shared" si="82"/>
        <v>574.65664000000004</v>
      </c>
      <c r="N122" s="11">
        <v>250</v>
      </c>
      <c r="R122" s="5" t="s">
        <v>7</v>
      </c>
      <c r="S122" s="1">
        <v>1</v>
      </c>
      <c r="T122" s="1">
        <v>1</v>
      </c>
      <c r="U122" s="1">
        <f>55*2</f>
        <v>110</v>
      </c>
      <c r="V122" s="1">
        <v>0.75</v>
      </c>
      <c r="W122" s="1">
        <v>2.5</v>
      </c>
      <c r="X122" s="1">
        <f t="shared" si="79"/>
        <v>1</v>
      </c>
      <c r="Y122" s="1">
        <v>0</v>
      </c>
      <c r="Z122" s="2" cm="1">
        <f t="array" ref="Z122">SPDAM(U122,V122,W122)</f>
        <v>225.65871256335143</v>
      </c>
      <c r="AA122" s="3" cm="1">
        <f t="array" ref="AA122">SPDAM(U122,V122,X122)</f>
        <v>110</v>
      </c>
      <c r="AB122" s="2">
        <f t="shared" si="80"/>
        <v>0</v>
      </c>
      <c r="AC122" s="3">
        <f t="shared" si="81"/>
        <v>0</v>
      </c>
      <c r="AD122" s="13">
        <f t="shared" si="83"/>
        <v>475.6587125633514</v>
      </c>
      <c r="AE122" s="11">
        <v>250</v>
      </c>
    </row>
    <row r="123" spans="1:31">
      <c r="A123" s="5" t="s">
        <v>13</v>
      </c>
      <c r="B123" s="1">
        <v>1</v>
      </c>
      <c r="C123" s="1">
        <v>1</v>
      </c>
      <c r="D123" s="1">
        <v>28</v>
      </c>
      <c r="E123" s="1">
        <v>1</v>
      </c>
      <c r="F123" s="1">
        <v>10</v>
      </c>
      <c r="G123" s="1">
        <f t="shared" si="76"/>
        <v>1</v>
      </c>
      <c r="H123" s="1">
        <v>0.35</v>
      </c>
      <c r="I123" s="2" cm="1">
        <f t="array" ref="I123">SPDAM(D123,E123,F123)</f>
        <v>280</v>
      </c>
      <c r="J123" s="3" cm="1">
        <f t="array" ref="J123">SPDAM(D123,E123,G123)</f>
        <v>28</v>
      </c>
      <c r="K123" s="2">
        <f t="shared" si="77"/>
        <v>3.5</v>
      </c>
      <c r="L123" s="3">
        <f t="shared" si="78"/>
        <v>0.35</v>
      </c>
      <c r="M123" s="13">
        <f t="shared" si="82"/>
        <v>680</v>
      </c>
      <c r="N123" s="11">
        <v>400</v>
      </c>
      <c r="R123" s="5" t="s">
        <v>13</v>
      </c>
      <c r="S123" s="1">
        <v>20</v>
      </c>
      <c r="T123" s="1">
        <v>2.5</v>
      </c>
      <c r="U123" s="1">
        <v>30</v>
      </c>
      <c r="V123" s="1">
        <v>0.9</v>
      </c>
      <c r="W123" s="1">
        <v>15</v>
      </c>
      <c r="X123" s="1">
        <f t="shared" si="79"/>
        <v>8</v>
      </c>
      <c r="Y123" s="1"/>
      <c r="Z123" s="2" cm="1">
        <f t="array" ref="Z123">SPDAM(U123,V123,W123)</f>
        <v>238.23266037160533</v>
      </c>
      <c r="AA123" s="3" cm="1">
        <f t="array" ref="AA123">SPDAM(U123,V123,X123)</f>
        <v>170.859837</v>
      </c>
      <c r="AB123" s="2">
        <f t="shared" si="80"/>
        <v>0</v>
      </c>
      <c r="AC123" s="3">
        <f t="shared" si="81"/>
        <v>0</v>
      </c>
      <c r="AD123" s="13">
        <f t="shared" si="83"/>
        <v>538.23266037160533</v>
      </c>
      <c r="AE123" s="11">
        <f>150+150</f>
        <v>300</v>
      </c>
    </row>
    <row r="124" spans="1:31">
      <c r="A124" s="5" t="s">
        <v>14</v>
      </c>
      <c r="B124" s="1">
        <v>1</v>
      </c>
      <c r="C124" s="1">
        <v>1</v>
      </c>
      <c r="D124" s="1">
        <f>35*7</f>
        <v>245</v>
      </c>
      <c r="E124" s="1">
        <v>1</v>
      </c>
      <c r="F124" s="1">
        <v>1.2</v>
      </c>
      <c r="G124" s="1">
        <f t="shared" si="76"/>
        <v>1</v>
      </c>
      <c r="H124" s="1">
        <f>0.1*7</f>
        <v>0.70000000000000007</v>
      </c>
      <c r="I124" s="2" cm="1">
        <f t="array" ref="I124">SPDAM(D124,E124,F124)</f>
        <v>294</v>
      </c>
      <c r="J124" s="3" cm="1">
        <f t="array" ref="J124">SPDAM(D124,E124,G124)</f>
        <v>245</v>
      </c>
      <c r="K124" s="2">
        <f t="shared" si="77"/>
        <v>0.84000000000000008</v>
      </c>
      <c r="L124" s="3">
        <f t="shared" si="78"/>
        <v>0.70000000000000007</v>
      </c>
      <c r="M124" s="13">
        <f t="shared" si="82"/>
        <v>294</v>
      </c>
      <c r="N124" s="11">
        <v>0</v>
      </c>
      <c r="R124" s="5" t="s">
        <v>14</v>
      </c>
      <c r="S124" s="1">
        <v>1</v>
      </c>
      <c r="T124" s="1">
        <v>1</v>
      </c>
      <c r="U124" s="1">
        <f>22*12</f>
        <v>264</v>
      </c>
      <c r="V124" s="1">
        <v>1</v>
      </c>
      <c r="W124" s="1">
        <v>1.2</v>
      </c>
      <c r="X124" s="1">
        <f t="shared" si="79"/>
        <v>1</v>
      </c>
      <c r="Y124" s="1">
        <f>0.075*12</f>
        <v>0.89999999999999991</v>
      </c>
      <c r="Z124" s="2" cm="1">
        <f t="array" ref="Z124">SPDAM(U124,V124,W124)</f>
        <v>316.8</v>
      </c>
      <c r="AA124" s="3" cm="1">
        <f t="array" ref="AA124">SPDAM(U124,V124,X124)</f>
        <v>264</v>
      </c>
      <c r="AB124" s="2">
        <f t="shared" si="80"/>
        <v>1.0799999999999998</v>
      </c>
      <c r="AC124" s="3">
        <f t="shared" si="81"/>
        <v>0.89999999999999991</v>
      </c>
      <c r="AD124" s="13">
        <f t="shared" si="83"/>
        <v>316.8</v>
      </c>
      <c r="AE124" s="11">
        <v>0</v>
      </c>
    </row>
    <row r="125" spans="1:31">
      <c r="A125" s="12" t="s">
        <v>15</v>
      </c>
      <c r="B125" s="1">
        <v>1</v>
      </c>
      <c r="C125" s="1">
        <v>1</v>
      </c>
      <c r="D125" s="1">
        <v>212</v>
      </c>
      <c r="E125" s="1">
        <v>0.9</v>
      </c>
      <c r="F125" s="1">
        <v>7.5</v>
      </c>
      <c r="G125" s="1">
        <f t="shared" si="76"/>
        <v>1</v>
      </c>
      <c r="H125" s="1">
        <v>0.2</v>
      </c>
      <c r="I125" s="2" cm="1">
        <f t="array" ref="I125">SPDAM(D125,E125,F125)</f>
        <v>1158.0451652566062</v>
      </c>
      <c r="J125" s="3" cm="1">
        <f t="array" ref="J125">SPDAM(D125,E125,G125)</f>
        <v>212</v>
      </c>
      <c r="K125" s="2">
        <f t="shared" si="77"/>
        <v>1.5</v>
      </c>
      <c r="L125" s="3">
        <f t="shared" si="78"/>
        <v>0.2</v>
      </c>
      <c r="M125" s="13">
        <f t="shared" si="82"/>
        <v>1158.0451652566062</v>
      </c>
      <c r="N125" s="11">
        <v>0</v>
      </c>
      <c r="R125" s="12" t="s">
        <v>15</v>
      </c>
      <c r="S125" s="1">
        <v>1</v>
      </c>
      <c r="T125" s="1">
        <v>1</v>
      </c>
      <c r="U125" s="1">
        <v>188</v>
      </c>
      <c r="V125" s="1">
        <v>0.95</v>
      </c>
      <c r="W125" s="1">
        <v>7</v>
      </c>
      <c r="X125" s="1">
        <f t="shared" si="79"/>
        <v>1</v>
      </c>
      <c r="Y125" s="1">
        <v>0.2</v>
      </c>
      <c r="Z125" s="2" cm="1">
        <f t="array" ref="Z125">SPDAM(U125,V125,W125)</f>
        <v>1134.2517666875001</v>
      </c>
      <c r="AA125" s="3" cm="1">
        <f t="array" ref="AA125">SPDAM(U125,V125,X125)</f>
        <v>188</v>
      </c>
      <c r="AB125" s="2">
        <f t="shared" si="80"/>
        <v>1.4000000000000001</v>
      </c>
      <c r="AC125" s="3">
        <f t="shared" si="81"/>
        <v>0.2</v>
      </c>
      <c r="AD125" s="13">
        <f t="shared" si="83"/>
        <v>1134.2517666875001</v>
      </c>
      <c r="AE125" s="11">
        <v>0</v>
      </c>
    </row>
    <row r="126" spans="1:31">
      <c r="A126" s="5" t="s">
        <v>16</v>
      </c>
      <c r="B126" s="1">
        <v>120</v>
      </c>
      <c r="C126" s="1">
        <v>30</v>
      </c>
      <c r="D126" s="1">
        <v>30</v>
      </c>
      <c r="E126" s="1">
        <v>0.95</v>
      </c>
      <c r="F126" s="1">
        <v>30</v>
      </c>
      <c r="G126" s="1">
        <f t="shared" si="76"/>
        <v>4</v>
      </c>
      <c r="H126" s="1">
        <v>7.4999999999999997E-2</v>
      </c>
      <c r="I126" s="2" cm="1">
        <f t="array" ref="I126">SPDAM(D126,E126,F126)</f>
        <v>471.21674163423722</v>
      </c>
      <c r="J126" s="3" cm="1">
        <f t="array" ref="J126">SPDAM(D126,E126,G126)</f>
        <v>111.29624999999999</v>
      </c>
      <c r="K126" s="2">
        <f t="shared" si="77"/>
        <v>2.25</v>
      </c>
      <c r="L126" s="3">
        <f t="shared" si="78"/>
        <v>0.3</v>
      </c>
      <c r="M126" s="13">
        <f t="shared" si="82"/>
        <v>1271.2167416342372</v>
      </c>
      <c r="N126" s="18">
        <f>500+300</f>
        <v>800</v>
      </c>
      <c r="R126" s="5" t="s">
        <v>16</v>
      </c>
      <c r="S126" s="1">
        <v>1</v>
      </c>
      <c r="T126" s="1">
        <v>1</v>
      </c>
      <c r="U126" s="1">
        <v>133</v>
      </c>
      <c r="V126" s="1">
        <v>0.95</v>
      </c>
      <c r="W126" s="1">
        <v>8</v>
      </c>
      <c r="X126" s="1">
        <f t="shared" si="79"/>
        <v>1</v>
      </c>
      <c r="Y126" s="1">
        <v>0.3</v>
      </c>
      <c r="Z126" s="2" cm="1">
        <f t="array" ref="Z126">SPDAM(U126,V126,W126)</f>
        <v>895.30165277109359</v>
      </c>
      <c r="AA126" s="3" cm="1">
        <f t="array" ref="AA126">SPDAM(U126,V126,X126)</f>
        <v>133</v>
      </c>
      <c r="AB126" s="2">
        <f t="shared" si="80"/>
        <v>2.4</v>
      </c>
      <c r="AC126" s="3">
        <f t="shared" si="81"/>
        <v>0.3</v>
      </c>
      <c r="AD126" s="13">
        <f t="shared" si="83"/>
        <v>1495.3016527710936</v>
      </c>
      <c r="AE126" s="18">
        <v>600</v>
      </c>
    </row>
    <row r="127" spans="1:31">
      <c r="A127" s="5" t="s">
        <v>17</v>
      </c>
      <c r="B127" s="1">
        <v>1</v>
      </c>
      <c r="C127" s="1">
        <v>1</v>
      </c>
      <c r="D127" s="1">
        <v>245</v>
      </c>
      <c r="E127" s="1">
        <v>0.95</v>
      </c>
      <c r="F127" s="1">
        <v>8</v>
      </c>
      <c r="G127" s="1">
        <f t="shared" si="76"/>
        <v>1</v>
      </c>
      <c r="H127" s="1">
        <f>0.25*4</f>
        <v>1</v>
      </c>
      <c r="I127" s="2" cm="1">
        <f t="array" ref="I127">SPDAM(D127,E127,F127)</f>
        <v>1649.2398866835933</v>
      </c>
      <c r="J127" s="3" cm="1">
        <f t="array" ref="J127">SPDAM(D127,E127,G127)</f>
        <v>245</v>
      </c>
      <c r="K127" s="2">
        <f t="shared" si="77"/>
        <v>8</v>
      </c>
      <c r="L127" s="3">
        <f t="shared" si="78"/>
        <v>1</v>
      </c>
      <c r="M127" s="13">
        <f t="shared" si="82"/>
        <v>2249.2398866835933</v>
      </c>
      <c r="N127" s="11">
        <v>600</v>
      </c>
      <c r="R127" s="5" t="s">
        <v>17</v>
      </c>
      <c r="S127" s="1">
        <v>1</v>
      </c>
      <c r="T127" s="1">
        <v>1</v>
      </c>
      <c r="U127" s="1">
        <v>88</v>
      </c>
      <c r="V127" s="1">
        <v>0.97499999999999998</v>
      </c>
      <c r="W127" s="1">
        <v>16</v>
      </c>
      <c r="X127" s="1">
        <f t="shared" si="79"/>
        <v>1</v>
      </c>
      <c r="Y127" s="1">
        <v>0.4</v>
      </c>
      <c r="Z127" s="2" cm="1">
        <f t="array" ref="Z127">SPDAM(U127,V127,W127)</f>
        <v>1172.4410071446136</v>
      </c>
      <c r="AA127" s="3" cm="1">
        <f t="array" ref="AA127">SPDAM(U127,V127,X127)</f>
        <v>88</v>
      </c>
      <c r="AB127" s="2">
        <f t="shared" si="80"/>
        <v>6.4</v>
      </c>
      <c r="AC127" s="3">
        <f t="shared" si="81"/>
        <v>0.4</v>
      </c>
      <c r="AD127" s="13">
        <f t="shared" si="83"/>
        <v>1772.4410071446136</v>
      </c>
      <c r="AE127" s="11">
        <v>600</v>
      </c>
    </row>
    <row r="128" spans="1:31">
      <c r="A128" s="5" t="s">
        <v>18</v>
      </c>
      <c r="B128" s="1">
        <v>1</v>
      </c>
      <c r="C128" s="1">
        <v>1</v>
      </c>
      <c r="D128" s="1">
        <v>0</v>
      </c>
      <c r="E128" s="1">
        <v>1</v>
      </c>
      <c r="F128" s="1">
        <v>1</v>
      </c>
      <c r="G128" s="1">
        <f t="shared" si="76"/>
        <v>1</v>
      </c>
      <c r="H128" s="1">
        <v>0</v>
      </c>
      <c r="I128" s="2" cm="1">
        <f t="array" ref="I128">SPDAM(D128,E128,F128)</f>
        <v>0</v>
      </c>
      <c r="J128" s="3" cm="1">
        <f t="array" ref="J128">SPDAM(D128,E128,H128)</f>
        <v>0</v>
      </c>
      <c r="K128" s="2">
        <f t="shared" si="77"/>
        <v>0</v>
      </c>
      <c r="L128" s="3">
        <f t="shared" si="78"/>
        <v>0</v>
      </c>
      <c r="M128" s="13">
        <f t="shared" si="82"/>
        <v>750</v>
      </c>
      <c r="N128" s="11">
        <v>750</v>
      </c>
      <c r="R128" s="5" t="s">
        <v>18</v>
      </c>
      <c r="S128" s="1">
        <v>1</v>
      </c>
      <c r="T128" s="1">
        <v>1</v>
      </c>
      <c r="U128" s="1">
        <v>0</v>
      </c>
      <c r="V128" s="1">
        <v>1</v>
      </c>
      <c r="W128" s="1">
        <v>1</v>
      </c>
      <c r="X128" s="1">
        <f t="shared" si="79"/>
        <v>1</v>
      </c>
      <c r="Y128" s="1">
        <v>0</v>
      </c>
      <c r="Z128" s="2" cm="1">
        <f t="array" ref="Z128">SPDAM(U128,V128,W128)</f>
        <v>0</v>
      </c>
      <c r="AA128" s="3" cm="1">
        <f t="array" ref="AA128">SPDAM(U128,V128,Y128)</f>
        <v>0</v>
      </c>
      <c r="AB128" s="2">
        <f t="shared" si="80"/>
        <v>0</v>
      </c>
      <c r="AC128" s="3">
        <f t="shared" si="81"/>
        <v>0</v>
      </c>
      <c r="AD128" s="13">
        <f t="shared" si="83"/>
        <v>750</v>
      </c>
      <c r="AE128" s="11">
        <v>750</v>
      </c>
    </row>
    <row r="129" spans="1:31">
      <c r="A129" s="9" t="s">
        <v>28</v>
      </c>
      <c r="B129" s="10">
        <v>7500</v>
      </c>
      <c r="C129" s="10">
        <v>5</v>
      </c>
      <c r="D129" s="10"/>
      <c r="E129" s="10">
        <v>1</v>
      </c>
      <c r="F129" s="10">
        <v>1.25</v>
      </c>
      <c r="G129" s="10">
        <v>1</v>
      </c>
      <c r="H129" s="10"/>
      <c r="I129" s="2"/>
      <c r="J129" s="3"/>
      <c r="K129" s="2"/>
      <c r="L129" s="3"/>
      <c r="M129" s="13"/>
      <c r="N129" s="11"/>
      <c r="R129" s="9" t="s">
        <v>28</v>
      </c>
      <c r="S129" s="10">
        <v>6750</v>
      </c>
      <c r="T129" s="10">
        <v>5</v>
      </c>
      <c r="U129" s="10"/>
      <c r="V129" s="10">
        <v>1.2</v>
      </c>
      <c r="W129" s="10">
        <v>1</v>
      </c>
      <c r="X129" s="10">
        <v>1</v>
      </c>
      <c r="Y129" s="10"/>
      <c r="Z129" s="2"/>
      <c r="AA129" s="3"/>
      <c r="AB129" s="2"/>
      <c r="AC129" s="3"/>
      <c r="AD129" s="13"/>
      <c r="AE129" s="11"/>
    </row>
    <row r="132" spans="1:31">
      <c r="A132" s="22" t="s">
        <v>44</v>
      </c>
      <c r="B132" s="4" t="s">
        <v>12</v>
      </c>
      <c r="C132" s="4" t="s">
        <v>2</v>
      </c>
      <c r="D132" s="4" t="s">
        <v>1</v>
      </c>
      <c r="E132" s="4" t="s">
        <v>3</v>
      </c>
      <c r="F132" s="4" t="s">
        <v>4</v>
      </c>
      <c r="G132" s="4" t="s">
        <v>8</v>
      </c>
      <c r="H132" s="4" t="s">
        <v>11</v>
      </c>
      <c r="I132" s="4" t="s">
        <v>9</v>
      </c>
      <c r="J132" s="4" t="s">
        <v>10</v>
      </c>
      <c r="K132" s="4" t="s">
        <v>19</v>
      </c>
      <c r="L132" s="4" t="s">
        <v>20</v>
      </c>
      <c r="M132" s="15" t="s">
        <v>9</v>
      </c>
      <c r="N132" s="14" t="s">
        <v>36</v>
      </c>
      <c r="R132" s="23" t="s">
        <v>45</v>
      </c>
      <c r="S132" s="4" t="s">
        <v>12</v>
      </c>
      <c r="T132" s="4" t="s">
        <v>2</v>
      </c>
      <c r="U132" s="4" t="s">
        <v>1</v>
      </c>
      <c r="V132" s="4" t="s">
        <v>3</v>
      </c>
      <c r="W132" s="4" t="s">
        <v>4</v>
      </c>
      <c r="X132" s="4" t="s">
        <v>8</v>
      </c>
      <c r="Y132" s="4" t="s">
        <v>11</v>
      </c>
      <c r="Z132" s="4" t="s">
        <v>9</v>
      </c>
      <c r="AA132" s="4" t="s">
        <v>10</v>
      </c>
      <c r="AB132" s="4" t="s">
        <v>19</v>
      </c>
      <c r="AC132" s="4" t="s">
        <v>20</v>
      </c>
      <c r="AD132" s="15" t="s">
        <v>9</v>
      </c>
      <c r="AE132" s="14" t="s">
        <v>36</v>
      </c>
    </row>
    <row r="133" spans="1:31">
      <c r="A133" s="5" t="s">
        <v>5</v>
      </c>
      <c r="B133" s="1">
        <v>1</v>
      </c>
      <c r="C133" s="1">
        <v>1</v>
      </c>
      <c r="D133" s="1">
        <f>32*4</f>
        <v>128</v>
      </c>
      <c r="E133" s="1">
        <v>0.9</v>
      </c>
      <c r="F133" s="1">
        <v>3</v>
      </c>
      <c r="G133" s="1">
        <f t="shared" ref="G133:G141" si="84">MIN(B133/C133,F133)</f>
        <v>1</v>
      </c>
      <c r="H133" s="1">
        <v>0</v>
      </c>
      <c r="I133" s="2" cm="1">
        <f t="array" ref="I133">SPDAM(D133,E133,F133)</f>
        <v>346.88</v>
      </c>
      <c r="J133" s="3" cm="1">
        <f t="array" ref="J133">SPDAM(D133,E133,G133)</f>
        <v>128</v>
      </c>
      <c r="K133" s="2">
        <f t="shared" ref="K133:K141" si="85">F133*H133</f>
        <v>0</v>
      </c>
      <c r="L133" s="3">
        <f t="shared" ref="L133:L141" si="86">G133*H133</f>
        <v>0</v>
      </c>
      <c r="M133" s="13">
        <f>I133+N133</f>
        <v>346.88</v>
      </c>
      <c r="N133" s="11">
        <v>0</v>
      </c>
      <c r="R133" s="5" t="s">
        <v>5</v>
      </c>
      <c r="S133" s="1">
        <v>1</v>
      </c>
      <c r="T133" s="1">
        <v>1</v>
      </c>
      <c r="U133" s="1">
        <f>23*6</f>
        <v>138</v>
      </c>
      <c r="V133" s="1">
        <v>0.9</v>
      </c>
      <c r="W133" s="1">
        <v>2.5</v>
      </c>
      <c r="X133" s="1">
        <f t="shared" ref="X133:X141" si="87">MIN(S133/T133,W133)</f>
        <v>1</v>
      </c>
      <c r="Y133" s="1">
        <v>0</v>
      </c>
      <c r="Z133" s="2" cm="1">
        <f t="array" ref="Z133">SPDAM(U133,V133,W133)</f>
        <v>319.56180943913569</v>
      </c>
      <c r="AA133" s="3" cm="1">
        <f t="array" ref="AA133">SPDAM(U133,V133,X133)</f>
        <v>138</v>
      </c>
      <c r="AB133" s="2">
        <f t="shared" ref="AB133:AB141" si="88">W133*Y133</f>
        <v>0</v>
      </c>
      <c r="AC133" s="3">
        <f t="shared" ref="AC133:AC141" si="89">X133*Y133</f>
        <v>0</v>
      </c>
      <c r="AD133" s="13">
        <f>Z133+AE133</f>
        <v>319.56180943913569</v>
      </c>
      <c r="AE133" s="11">
        <v>0</v>
      </c>
    </row>
    <row r="134" spans="1:31">
      <c r="A134" s="12" t="s">
        <v>6</v>
      </c>
      <c r="B134" s="1">
        <v>1</v>
      </c>
      <c r="C134" s="1">
        <v>1</v>
      </c>
      <c r="D134" s="1">
        <v>123</v>
      </c>
      <c r="E134" s="1">
        <v>0.95</v>
      </c>
      <c r="F134" s="1">
        <v>7</v>
      </c>
      <c r="G134" s="1">
        <f t="shared" si="84"/>
        <v>1</v>
      </c>
      <c r="H134" s="1">
        <v>0</v>
      </c>
      <c r="I134" s="2" cm="1">
        <f t="array" ref="I134">SPDAM(D134,E134,F134)</f>
        <v>742.09025160937495</v>
      </c>
      <c r="J134" s="3" cm="1">
        <f t="array" ref="J134">SPDAM(D134,E134,G134)</f>
        <v>123</v>
      </c>
      <c r="K134" s="2">
        <f t="shared" si="85"/>
        <v>0</v>
      </c>
      <c r="L134" s="3">
        <f t="shared" si="86"/>
        <v>0</v>
      </c>
      <c r="M134" s="13">
        <f t="shared" ref="M134:M141" si="90">I134+N134</f>
        <v>742.09025160937495</v>
      </c>
      <c r="N134" s="11">
        <v>0</v>
      </c>
      <c r="R134" s="12" t="s">
        <v>6</v>
      </c>
      <c r="S134" s="1">
        <v>1</v>
      </c>
      <c r="T134" s="1">
        <v>1</v>
      </c>
      <c r="U134" s="1">
        <v>166</v>
      </c>
      <c r="V134" s="1">
        <v>0.95</v>
      </c>
      <c r="W134" s="1">
        <v>4.5</v>
      </c>
      <c r="X134" s="1">
        <f t="shared" si="87"/>
        <v>1</v>
      </c>
      <c r="Y134" s="1">
        <f>0.1*2.3</f>
        <v>0.22999999999999998</v>
      </c>
      <c r="Z134" s="2" cm="1">
        <f t="array" ref="Z134">SPDAM(U134,V134,W134)</f>
        <v>684.31012944456324</v>
      </c>
      <c r="AA134" s="3" cm="1">
        <f t="array" ref="AA134">SPDAM(U134,V134,X134)</f>
        <v>166</v>
      </c>
      <c r="AB134" s="2">
        <f t="shared" si="88"/>
        <v>1.0349999999999999</v>
      </c>
      <c r="AC134" s="3">
        <f t="shared" si="89"/>
        <v>0.22999999999999998</v>
      </c>
      <c r="AD134" s="13">
        <f t="shared" ref="AD134:AD141" si="91">Z134+AE134</f>
        <v>684.31012944456324</v>
      </c>
      <c r="AE134" s="11">
        <v>0</v>
      </c>
    </row>
    <row r="135" spans="1:31">
      <c r="A135" s="5" t="s">
        <v>7</v>
      </c>
      <c r="B135" s="1">
        <v>90</v>
      </c>
      <c r="C135" s="1">
        <v>10</v>
      </c>
      <c r="D135" s="1">
        <v>33</v>
      </c>
      <c r="E135" s="1">
        <v>0.9</v>
      </c>
      <c r="F135" s="1">
        <v>22</v>
      </c>
      <c r="G135" s="1">
        <f t="shared" si="84"/>
        <v>9</v>
      </c>
      <c r="H135" s="1">
        <v>0</v>
      </c>
      <c r="I135" s="2" cm="1">
        <f t="array" ref="I135">SPDAM(D135,E135,F135)</f>
        <v>297.50256022794076</v>
      </c>
      <c r="J135" s="3" cm="1">
        <f t="array" ref="J135">SPDAM(D135,E135,G135)</f>
        <v>202.15123863000002</v>
      </c>
      <c r="K135" s="2">
        <f t="shared" si="85"/>
        <v>0</v>
      </c>
      <c r="L135" s="3">
        <f t="shared" si="86"/>
        <v>0</v>
      </c>
      <c r="M135" s="13">
        <f t="shared" si="90"/>
        <v>547.50256022794076</v>
      </c>
      <c r="N135" s="11">
        <v>250</v>
      </c>
      <c r="R135" s="5" t="s">
        <v>7</v>
      </c>
      <c r="S135" s="1">
        <v>50</v>
      </c>
      <c r="T135" s="1">
        <v>12</v>
      </c>
      <c r="U135" s="1">
        <v>28</v>
      </c>
      <c r="V135" s="1">
        <v>0.93</v>
      </c>
      <c r="W135" s="1">
        <v>20</v>
      </c>
      <c r="X135" s="1">
        <f t="shared" si="87"/>
        <v>4.166666666666667</v>
      </c>
      <c r="Y135" s="1">
        <f>0.05*2</f>
        <v>0.1</v>
      </c>
      <c r="Z135" s="2" cm="1">
        <f t="array" ref="Z135">SPDAM(U135,V135,W135)</f>
        <v>306.30445053496345</v>
      </c>
      <c r="AA135" s="3" cm="1">
        <f t="array" ref="AA135">SPDAM(U135,V135,X135)</f>
        <v>104.37650737325953</v>
      </c>
      <c r="AB135" s="2">
        <f t="shared" si="88"/>
        <v>2</v>
      </c>
      <c r="AC135" s="3">
        <f t="shared" si="89"/>
        <v>0.41666666666666674</v>
      </c>
      <c r="AD135" s="13">
        <f t="shared" si="91"/>
        <v>556.30445053496351</v>
      </c>
      <c r="AE135" s="11">
        <v>250</v>
      </c>
    </row>
    <row r="136" spans="1:31">
      <c r="A136" s="5" t="s">
        <v>13</v>
      </c>
      <c r="B136" s="1">
        <v>1</v>
      </c>
      <c r="C136" s="1">
        <v>1</v>
      </c>
      <c r="D136" s="1">
        <v>600</v>
      </c>
      <c r="E136" s="1">
        <v>0.9</v>
      </c>
      <c r="F136" s="1">
        <v>1</v>
      </c>
      <c r="G136" s="1">
        <f t="shared" si="84"/>
        <v>1</v>
      </c>
      <c r="H136" s="1">
        <v>0</v>
      </c>
      <c r="I136" s="2" cm="1">
        <f t="array" ref="I136">SPDAM(D136,E136,F136)</f>
        <v>600</v>
      </c>
      <c r="J136" s="3" cm="1">
        <f t="array" ref="J136">SPDAM(D136,E136,G136)</f>
        <v>600</v>
      </c>
      <c r="K136" s="2">
        <f t="shared" si="85"/>
        <v>0</v>
      </c>
      <c r="L136" s="3">
        <f t="shared" si="86"/>
        <v>0</v>
      </c>
      <c r="M136" s="13">
        <f t="shared" si="90"/>
        <v>1000</v>
      </c>
      <c r="N136" s="11">
        <v>400</v>
      </c>
      <c r="R136" s="5" t="s">
        <v>13</v>
      </c>
      <c r="S136" s="1">
        <v>1</v>
      </c>
      <c r="T136" s="1">
        <v>1</v>
      </c>
      <c r="U136" s="1">
        <v>123</v>
      </c>
      <c r="V136" s="1">
        <v>0.8</v>
      </c>
      <c r="W136" s="1">
        <v>10</v>
      </c>
      <c r="X136" s="1">
        <f t="shared" si="87"/>
        <v>1</v>
      </c>
      <c r="Y136" s="1">
        <v>0</v>
      </c>
      <c r="Z136" s="2" cm="1">
        <f t="array" ref="Z136">SPDAM(U136,V136,W136)</f>
        <v>548.96487782400015</v>
      </c>
      <c r="AA136" s="3" cm="1">
        <f t="array" ref="AA136">SPDAM(U136,V136,X136)</f>
        <v>123</v>
      </c>
      <c r="AB136" s="2">
        <f t="shared" si="88"/>
        <v>0</v>
      </c>
      <c r="AC136" s="3">
        <f t="shared" si="89"/>
        <v>0</v>
      </c>
      <c r="AD136" s="13">
        <f t="shared" si="91"/>
        <v>898.96487782400015</v>
      </c>
      <c r="AE136" s="11">
        <v>350</v>
      </c>
    </row>
    <row r="137" spans="1:31">
      <c r="A137" s="5" t="s">
        <v>14</v>
      </c>
      <c r="B137" s="1">
        <v>1</v>
      </c>
      <c r="C137" s="1">
        <v>1</v>
      </c>
      <c r="D137" s="1">
        <f>11*20</f>
        <v>220</v>
      </c>
      <c r="E137" s="1">
        <v>0.9</v>
      </c>
      <c r="F137" s="1">
        <v>1.5</v>
      </c>
      <c r="G137" s="1">
        <f t="shared" si="84"/>
        <v>1</v>
      </c>
      <c r="H137" s="1">
        <f>0.05*3*20</f>
        <v>3.0000000000000004</v>
      </c>
      <c r="I137" s="2" cm="1">
        <f t="array" ref="I137">SPDAM(D137,E137,F137)</f>
        <v>321.60706985998263</v>
      </c>
      <c r="J137" s="3" cm="1">
        <f t="array" ref="J137">SPDAM(D137,E137,G137)</f>
        <v>220</v>
      </c>
      <c r="K137" s="2">
        <f t="shared" si="85"/>
        <v>4.5000000000000009</v>
      </c>
      <c r="L137" s="3">
        <f t="shared" si="86"/>
        <v>3.0000000000000004</v>
      </c>
      <c r="M137" s="13">
        <f t="shared" si="90"/>
        <v>321.60706985998263</v>
      </c>
      <c r="N137" s="11">
        <v>0</v>
      </c>
      <c r="R137" s="5" t="s">
        <v>14</v>
      </c>
      <c r="S137" s="1">
        <v>1</v>
      </c>
      <c r="T137" s="1">
        <v>1</v>
      </c>
      <c r="U137" s="1">
        <v>33</v>
      </c>
      <c r="V137" s="1">
        <v>0.9</v>
      </c>
      <c r="W137" s="1">
        <v>7</v>
      </c>
      <c r="X137" s="1">
        <f t="shared" si="87"/>
        <v>1</v>
      </c>
      <c r="Y137" s="1">
        <f>0.35*3</f>
        <v>1.0499999999999998</v>
      </c>
      <c r="Z137" s="2" cm="1">
        <f t="array" ref="Z137">SPDAM(U137,V137,W137)</f>
        <v>172.162023</v>
      </c>
      <c r="AA137" s="3" cm="1">
        <f t="array" ref="AA137">SPDAM(U137,V137,X137)</f>
        <v>33</v>
      </c>
      <c r="AB137" s="2">
        <f t="shared" si="88"/>
        <v>7.3499999999999988</v>
      </c>
      <c r="AC137" s="3">
        <f t="shared" si="89"/>
        <v>1.0499999999999998</v>
      </c>
      <c r="AD137" s="13">
        <f t="shared" si="91"/>
        <v>172.162023</v>
      </c>
      <c r="AE137" s="11">
        <v>0</v>
      </c>
    </row>
    <row r="138" spans="1:31">
      <c r="A138" s="12" t="s">
        <v>15</v>
      </c>
      <c r="B138" s="1">
        <v>1</v>
      </c>
      <c r="C138" s="1">
        <v>1</v>
      </c>
      <c r="D138" s="1">
        <v>136</v>
      </c>
      <c r="E138" s="1">
        <v>1</v>
      </c>
      <c r="F138" s="1">
        <v>7</v>
      </c>
      <c r="G138" s="1">
        <f t="shared" si="84"/>
        <v>1</v>
      </c>
      <c r="H138" s="1">
        <f>0.3*2</f>
        <v>0.6</v>
      </c>
      <c r="I138" s="2" cm="1">
        <f t="array" ref="I138">SPDAM(D138,E138,F138)</f>
        <v>952</v>
      </c>
      <c r="J138" s="3" cm="1">
        <f t="array" ref="J138">SPDAM(D138,E138,G138)</f>
        <v>136</v>
      </c>
      <c r="K138" s="2">
        <f t="shared" si="85"/>
        <v>4.2</v>
      </c>
      <c r="L138" s="3">
        <f t="shared" si="86"/>
        <v>0.6</v>
      </c>
      <c r="M138" s="13">
        <f t="shared" si="90"/>
        <v>952</v>
      </c>
      <c r="N138" s="11">
        <v>0</v>
      </c>
      <c r="R138" s="12" t="s">
        <v>15</v>
      </c>
      <c r="S138" s="1">
        <v>1</v>
      </c>
      <c r="T138" s="1">
        <v>1</v>
      </c>
      <c r="U138" s="1">
        <f>33*15</f>
        <v>495</v>
      </c>
      <c r="V138" s="1">
        <v>0.7</v>
      </c>
      <c r="W138" s="1">
        <v>2.5</v>
      </c>
      <c r="X138" s="1">
        <f t="shared" si="87"/>
        <v>1</v>
      </c>
      <c r="Y138" s="1">
        <f>0.05*2*13</f>
        <v>1.3</v>
      </c>
      <c r="Z138" s="2" cm="1">
        <f t="array" ref="Z138">SPDAM(U138,V138,W138)</f>
        <v>973.56036854719991</v>
      </c>
      <c r="AA138" s="3" cm="1">
        <f t="array" ref="AA138">SPDAM(U138,V138,X138)</f>
        <v>495</v>
      </c>
      <c r="AB138" s="2">
        <f t="shared" si="88"/>
        <v>3.25</v>
      </c>
      <c r="AC138" s="3">
        <f t="shared" si="89"/>
        <v>1.3</v>
      </c>
      <c r="AD138" s="13">
        <f t="shared" si="91"/>
        <v>973.56036854719991</v>
      </c>
      <c r="AE138" s="11">
        <v>0</v>
      </c>
    </row>
    <row r="139" spans="1:31">
      <c r="A139" s="5" t="s">
        <v>16</v>
      </c>
      <c r="B139" s="1">
        <v>1</v>
      </c>
      <c r="C139" s="1">
        <v>1</v>
      </c>
      <c r="D139" s="1">
        <v>136</v>
      </c>
      <c r="E139" s="1">
        <v>1</v>
      </c>
      <c r="F139" s="1">
        <v>7</v>
      </c>
      <c r="G139" s="1">
        <f t="shared" si="84"/>
        <v>1</v>
      </c>
      <c r="H139" s="1">
        <f>0.3*2</f>
        <v>0.6</v>
      </c>
      <c r="I139" s="2" cm="1">
        <f t="array" ref="I139">SPDAM(D139,E139,F139)</f>
        <v>952</v>
      </c>
      <c r="J139" s="3" cm="1">
        <f t="array" ref="J139">SPDAM(D139,E139,G139)</f>
        <v>136</v>
      </c>
      <c r="K139" s="2">
        <f t="shared" si="85"/>
        <v>4.2</v>
      </c>
      <c r="L139" s="3">
        <f t="shared" si="86"/>
        <v>0.6</v>
      </c>
      <c r="M139" s="13">
        <f t="shared" si="90"/>
        <v>1552</v>
      </c>
      <c r="N139" s="18">
        <v>600</v>
      </c>
      <c r="R139" s="5" t="s">
        <v>16</v>
      </c>
      <c r="S139" s="1">
        <v>1</v>
      </c>
      <c r="T139" s="1">
        <v>1</v>
      </c>
      <c r="U139" s="1">
        <v>255</v>
      </c>
      <c r="V139" s="1">
        <v>0.9</v>
      </c>
      <c r="W139" s="1">
        <v>6</v>
      </c>
      <c r="X139" s="1">
        <f t="shared" si="87"/>
        <v>1</v>
      </c>
      <c r="Y139" s="1">
        <v>0</v>
      </c>
      <c r="Z139" s="2" cm="1">
        <f t="array" ref="Z139">SPDAM(U139,V139,W139)</f>
        <v>1194.82545</v>
      </c>
      <c r="AA139" s="3" cm="1">
        <f t="array" ref="AA139">SPDAM(U139,V139,X139)</f>
        <v>255</v>
      </c>
      <c r="AB139" s="2">
        <f t="shared" si="88"/>
        <v>0</v>
      </c>
      <c r="AC139" s="3">
        <f t="shared" si="89"/>
        <v>0</v>
      </c>
      <c r="AD139" s="13">
        <f t="shared" si="91"/>
        <v>1744.82545</v>
      </c>
      <c r="AE139" s="18">
        <v>550</v>
      </c>
    </row>
    <row r="140" spans="1:31">
      <c r="A140" s="5" t="s">
        <v>17</v>
      </c>
      <c r="B140" s="1">
        <v>1</v>
      </c>
      <c r="C140" s="1">
        <v>1</v>
      </c>
      <c r="D140" s="1">
        <f>36*4</f>
        <v>144</v>
      </c>
      <c r="E140" s="1">
        <v>1</v>
      </c>
      <c r="F140" s="1">
        <v>10</v>
      </c>
      <c r="G140" s="1">
        <f t="shared" si="84"/>
        <v>1</v>
      </c>
      <c r="H140" s="1">
        <f>0.1*0.25*4</f>
        <v>0.1</v>
      </c>
      <c r="I140" s="2" cm="1">
        <f t="array" ref="I140">SPDAM(D140,E140,F140)</f>
        <v>1440</v>
      </c>
      <c r="J140" s="3" cm="1">
        <f t="array" ref="J140">SPDAM(D140,E140,G140)</f>
        <v>144</v>
      </c>
      <c r="K140" s="2">
        <f t="shared" si="85"/>
        <v>1</v>
      </c>
      <c r="L140" s="3">
        <f t="shared" si="86"/>
        <v>0.1</v>
      </c>
      <c r="M140" s="13">
        <f t="shared" si="90"/>
        <v>2040</v>
      </c>
      <c r="N140" s="11">
        <v>600</v>
      </c>
      <c r="R140" s="5" t="s">
        <v>17</v>
      </c>
      <c r="S140" s="1">
        <v>1</v>
      </c>
      <c r="T140" s="1">
        <v>1</v>
      </c>
      <c r="U140" s="1">
        <v>234</v>
      </c>
      <c r="V140" s="1">
        <v>0.95</v>
      </c>
      <c r="W140" s="1">
        <v>7.5</v>
      </c>
      <c r="X140" s="1">
        <f t="shared" si="87"/>
        <v>1</v>
      </c>
      <c r="Y140" s="1">
        <f>0.2*2</f>
        <v>0.4</v>
      </c>
      <c r="Z140" s="2" cm="1">
        <f t="array" ref="Z140">SPDAM(U140,V140,W140)</f>
        <v>1494.5345960988707</v>
      </c>
      <c r="AA140" s="3" cm="1">
        <f t="array" ref="AA140">SPDAM(U140,V140,X140)</f>
        <v>234</v>
      </c>
      <c r="AB140" s="2">
        <f t="shared" si="88"/>
        <v>3</v>
      </c>
      <c r="AC140" s="3">
        <f t="shared" si="89"/>
        <v>0.4</v>
      </c>
      <c r="AD140" s="13">
        <f t="shared" si="91"/>
        <v>2044.5345960988707</v>
      </c>
      <c r="AE140" s="11">
        <v>550</v>
      </c>
    </row>
    <row r="141" spans="1:31">
      <c r="A141" s="5" t="s">
        <v>18</v>
      </c>
      <c r="B141" s="1">
        <v>1</v>
      </c>
      <c r="C141" s="1">
        <v>1</v>
      </c>
      <c r="D141" s="1">
        <v>0</v>
      </c>
      <c r="E141" s="1">
        <v>1</v>
      </c>
      <c r="F141" s="1">
        <v>1</v>
      </c>
      <c r="G141" s="1">
        <f t="shared" si="84"/>
        <v>1</v>
      </c>
      <c r="H141" s="1">
        <v>0</v>
      </c>
      <c r="I141" s="2" cm="1">
        <f t="array" ref="I141">SPDAM(D141,E141,F141)</f>
        <v>0</v>
      </c>
      <c r="J141" s="3" cm="1">
        <f t="array" ref="J141">SPDAM(D141,E141,H141)</f>
        <v>0</v>
      </c>
      <c r="K141" s="2">
        <f t="shared" si="85"/>
        <v>0</v>
      </c>
      <c r="L141" s="3">
        <f t="shared" si="86"/>
        <v>0</v>
      </c>
      <c r="M141" s="13">
        <f t="shared" si="90"/>
        <v>750</v>
      </c>
      <c r="N141" s="11">
        <v>750</v>
      </c>
      <c r="R141" s="5" t="s">
        <v>18</v>
      </c>
      <c r="S141" s="1">
        <v>1</v>
      </c>
      <c r="T141" s="1">
        <v>1</v>
      </c>
      <c r="U141" s="1">
        <v>0</v>
      </c>
      <c r="V141" s="1">
        <v>1</v>
      </c>
      <c r="W141" s="1">
        <v>1</v>
      </c>
      <c r="X141" s="1">
        <f t="shared" si="87"/>
        <v>1</v>
      </c>
      <c r="Y141" s="1">
        <v>0</v>
      </c>
      <c r="Z141" s="2" cm="1">
        <f t="array" ref="Z141">SPDAM(U141,V141,W141)</f>
        <v>0</v>
      </c>
      <c r="AA141" s="3" cm="1">
        <f t="array" ref="AA141">SPDAM(U141,V141,Y141)</f>
        <v>0</v>
      </c>
      <c r="AB141" s="2">
        <f t="shared" si="88"/>
        <v>0</v>
      </c>
      <c r="AC141" s="3">
        <f t="shared" si="89"/>
        <v>0</v>
      </c>
      <c r="AD141" s="13">
        <f t="shared" si="91"/>
        <v>750</v>
      </c>
      <c r="AE141" s="11">
        <v>750</v>
      </c>
    </row>
    <row r="142" spans="1:31">
      <c r="A142" s="9" t="s">
        <v>28</v>
      </c>
      <c r="B142" s="10">
        <v>6500</v>
      </c>
      <c r="C142" s="10">
        <v>5</v>
      </c>
      <c r="D142" s="10"/>
      <c r="E142" s="10">
        <v>1</v>
      </c>
      <c r="F142" s="10">
        <v>1.1499999999999999</v>
      </c>
      <c r="G142" s="10">
        <v>1</v>
      </c>
      <c r="H142" s="10"/>
      <c r="I142" s="2"/>
      <c r="J142" s="3"/>
      <c r="K142" s="2"/>
      <c r="L142" s="3"/>
      <c r="M142" s="13"/>
      <c r="N142" s="11"/>
      <c r="R142" s="9" t="s">
        <v>28</v>
      </c>
      <c r="S142" s="10">
        <v>7150</v>
      </c>
      <c r="T142" s="10">
        <v>5</v>
      </c>
      <c r="U142" s="10"/>
      <c r="V142" s="10">
        <v>1</v>
      </c>
      <c r="W142" s="10">
        <v>1</v>
      </c>
      <c r="X142" s="10">
        <v>1.2</v>
      </c>
      <c r="Y142" s="10"/>
      <c r="Z142" s="2"/>
      <c r="AA142" s="3"/>
      <c r="AB142" s="2"/>
      <c r="AC142" s="3"/>
      <c r="AD142" s="13"/>
      <c r="AE142" s="11"/>
    </row>
    <row r="145" spans="1:33">
      <c r="A145" s="27" t="s">
        <v>68</v>
      </c>
      <c r="B145" s="4" t="s">
        <v>12</v>
      </c>
      <c r="C145" s="4" t="s">
        <v>2</v>
      </c>
      <c r="D145" s="4" t="s">
        <v>1</v>
      </c>
      <c r="E145" s="4" t="s">
        <v>3</v>
      </c>
      <c r="F145" s="4" t="s">
        <v>4</v>
      </c>
      <c r="G145" s="4" t="s">
        <v>8</v>
      </c>
      <c r="H145" s="4" t="s">
        <v>11</v>
      </c>
      <c r="I145" s="4" t="s">
        <v>9</v>
      </c>
      <c r="J145" s="4" t="s">
        <v>10</v>
      </c>
      <c r="K145" s="4" t="s">
        <v>19</v>
      </c>
      <c r="L145" s="4" t="s">
        <v>20</v>
      </c>
      <c r="M145" s="15" t="s">
        <v>9</v>
      </c>
      <c r="N145" s="14" t="s">
        <v>36</v>
      </c>
      <c r="R145" s="29" t="s">
        <v>73</v>
      </c>
      <c r="S145" s="4" t="s">
        <v>12</v>
      </c>
      <c r="T145" s="4" t="s">
        <v>2</v>
      </c>
      <c r="U145" s="4" t="s">
        <v>1</v>
      </c>
      <c r="V145" s="4" t="s">
        <v>3</v>
      </c>
      <c r="W145" s="4" t="s">
        <v>4</v>
      </c>
      <c r="X145" s="4" t="s">
        <v>8</v>
      </c>
      <c r="Y145" s="4" t="s">
        <v>11</v>
      </c>
      <c r="Z145" s="4" t="s">
        <v>9</v>
      </c>
      <c r="AA145" s="4" t="s">
        <v>10</v>
      </c>
      <c r="AB145" s="4" t="s">
        <v>19</v>
      </c>
      <c r="AC145" s="4" t="s">
        <v>20</v>
      </c>
    </row>
    <row r="146" spans="1:33">
      <c r="A146" s="5" t="s">
        <v>5</v>
      </c>
      <c r="B146" s="1">
        <v>1</v>
      </c>
      <c r="C146" s="1">
        <v>1</v>
      </c>
      <c r="D146" s="1">
        <v>102</v>
      </c>
      <c r="E146" s="1">
        <v>0.9</v>
      </c>
      <c r="F146" s="1">
        <v>3.5</v>
      </c>
      <c r="G146" s="1">
        <f t="shared" ref="G146:G154" si="92">MIN(B146/C146,F146)</f>
        <v>1</v>
      </c>
      <c r="H146" s="1">
        <f>0.1*2.5</f>
        <v>0.25</v>
      </c>
      <c r="I146" s="2" cm="1">
        <f t="array" ref="I146">SPDAM(D146,E146,F146)</f>
        <v>314.57807323559894</v>
      </c>
      <c r="J146" s="3" cm="1">
        <f t="array" ref="J146">SPDAM(D146,E146,G146)</f>
        <v>102</v>
      </c>
      <c r="K146" s="2">
        <f t="shared" ref="K146:K154" si="93">F146*H146</f>
        <v>0.875</v>
      </c>
      <c r="L146" s="3">
        <f t="shared" ref="L146:L154" si="94">G146*H146</f>
        <v>0.25</v>
      </c>
      <c r="M146" s="13">
        <f>I146+N146</f>
        <v>314.57807323559894</v>
      </c>
      <c r="N146" s="11">
        <v>0</v>
      </c>
      <c r="R146" s="5" t="s">
        <v>5</v>
      </c>
      <c r="S146" s="1">
        <v>1</v>
      </c>
      <c r="T146" s="1">
        <v>1</v>
      </c>
      <c r="U146" s="1">
        <f>33*2</f>
        <v>66</v>
      </c>
      <c r="V146" s="1">
        <v>0.85</v>
      </c>
      <c r="W146" s="1">
        <v>3</v>
      </c>
      <c r="X146" s="1">
        <f t="shared" ref="X146:X154" si="95">MIN(S146/T146,W146)</f>
        <v>1</v>
      </c>
      <c r="Y146" s="1">
        <f>25*2</f>
        <v>50</v>
      </c>
      <c r="Z146" s="2" cm="1">
        <f t="array" ref="Z146">SPDAM(U146,V146,W146)</f>
        <v>169.78500000000003</v>
      </c>
      <c r="AA146" s="3" cm="1">
        <f t="array" ref="AA146">SPDAM(U146,V146,X146)</f>
        <v>66</v>
      </c>
      <c r="AB146" s="2">
        <f t="shared" ref="AB146:AB154" si="96">W146*Y146</f>
        <v>150</v>
      </c>
      <c r="AC146" s="3">
        <f t="shared" ref="AC146:AC154" si="97">X146*Y146</f>
        <v>50</v>
      </c>
      <c r="AD146" s="2">
        <f t="shared" ref="AD146:AE150" si="98">Z146+AB146</f>
        <v>319.78500000000003</v>
      </c>
      <c r="AE146" s="3">
        <f t="shared" si="98"/>
        <v>116</v>
      </c>
      <c r="AF146" s="13">
        <f>AD146+AG146</f>
        <v>319.78500000000003</v>
      </c>
      <c r="AG146" s="11">
        <v>0</v>
      </c>
    </row>
    <row r="147" spans="1:33">
      <c r="A147" s="12" t="s">
        <v>6</v>
      </c>
      <c r="B147" s="1">
        <v>1</v>
      </c>
      <c r="C147" s="1">
        <v>1</v>
      </c>
      <c r="D147" s="1">
        <v>142</v>
      </c>
      <c r="E147" s="1">
        <v>0.85</v>
      </c>
      <c r="F147" s="1">
        <v>7.5</v>
      </c>
      <c r="G147" s="1">
        <f t="shared" si="92"/>
        <v>1</v>
      </c>
      <c r="H147" s="1">
        <v>66</v>
      </c>
      <c r="I147" s="2" cm="1">
        <f t="array" ref="I147">SPDAM(D147,E147,F147)</f>
        <v>666.87226008627624</v>
      </c>
      <c r="J147" s="3" cm="1">
        <f t="array" ref="J147">SPDAM(D147,E147,G147)</f>
        <v>142</v>
      </c>
      <c r="K147" s="2">
        <f t="shared" si="93"/>
        <v>495</v>
      </c>
      <c r="L147" s="3">
        <f t="shared" si="94"/>
        <v>66</v>
      </c>
      <c r="M147" s="13">
        <f t="shared" ref="M147:M154" si="99">I147+N147</f>
        <v>666.87226008627624</v>
      </c>
      <c r="N147" s="11">
        <v>0</v>
      </c>
      <c r="R147" s="5" t="s">
        <v>6</v>
      </c>
      <c r="S147" s="1">
        <v>1</v>
      </c>
      <c r="T147" s="1">
        <v>1</v>
      </c>
      <c r="U147" s="1">
        <f>112*3</f>
        <v>336</v>
      </c>
      <c r="V147" s="1">
        <v>1</v>
      </c>
      <c r="W147" s="1">
        <v>1</v>
      </c>
      <c r="X147" s="1">
        <f t="shared" si="95"/>
        <v>1</v>
      </c>
      <c r="Y147" s="1">
        <f>55*3</f>
        <v>165</v>
      </c>
      <c r="Z147" s="2" cm="1">
        <f t="array" ref="Z147">SPDAM(U147,V147,W147)</f>
        <v>336</v>
      </c>
      <c r="AA147" s="3" cm="1">
        <f t="array" ref="AA147">SPDAM(U147,V147,X147)</f>
        <v>336</v>
      </c>
      <c r="AB147" s="2">
        <f t="shared" ref="AB147" si="100">W147*Y147</f>
        <v>165</v>
      </c>
      <c r="AC147" s="3">
        <f t="shared" ref="AC147" si="101">X147*Y147</f>
        <v>165</v>
      </c>
      <c r="AD147" s="2">
        <f t="shared" si="98"/>
        <v>501</v>
      </c>
      <c r="AE147" s="3">
        <f t="shared" si="98"/>
        <v>501</v>
      </c>
      <c r="AF147" s="13">
        <f>AD147+AG147</f>
        <v>501</v>
      </c>
      <c r="AG147" s="11">
        <v>0</v>
      </c>
    </row>
    <row r="148" spans="1:33">
      <c r="A148" s="5" t="s">
        <v>7</v>
      </c>
      <c r="B148" s="1">
        <v>1</v>
      </c>
      <c r="C148" s="1">
        <v>1</v>
      </c>
      <c r="D148" s="1">
        <f>44*6</f>
        <v>264</v>
      </c>
      <c r="E148" s="1">
        <v>1</v>
      </c>
      <c r="F148" s="1">
        <v>1.3</v>
      </c>
      <c r="G148" s="1">
        <f t="shared" si="92"/>
        <v>1</v>
      </c>
      <c r="H148" s="1">
        <f>0.05*2*6</f>
        <v>0.60000000000000009</v>
      </c>
      <c r="I148" s="2" cm="1">
        <f t="array" ref="I148">SPDAM(D148,E148,F148)</f>
        <v>343.2</v>
      </c>
      <c r="J148" s="3" cm="1">
        <f t="array" ref="J148">SPDAM(D148,E148,G148)</f>
        <v>264</v>
      </c>
      <c r="K148" s="2">
        <f t="shared" si="93"/>
        <v>0.78000000000000014</v>
      </c>
      <c r="L148" s="3">
        <f t="shared" si="94"/>
        <v>0.60000000000000009</v>
      </c>
      <c r="M148" s="13">
        <f t="shared" si="99"/>
        <v>593.20000000000005</v>
      </c>
      <c r="N148" s="11">
        <v>250</v>
      </c>
      <c r="R148" s="5" t="s">
        <v>7</v>
      </c>
      <c r="S148" s="1">
        <v>1</v>
      </c>
      <c r="T148" s="1">
        <v>1</v>
      </c>
      <c r="U148" s="1">
        <v>43</v>
      </c>
      <c r="V148" s="1">
        <v>0.9</v>
      </c>
      <c r="W148" s="1">
        <v>12</v>
      </c>
      <c r="X148" s="1">
        <f t="shared" si="95"/>
        <v>1</v>
      </c>
      <c r="Y148" s="1">
        <v>0</v>
      </c>
      <c r="Z148" s="2" cm="1">
        <f t="array" ref="Z148">SPDAM(U148,V148,W148)</f>
        <v>308.55529931317005</v>
      </c>
      <c r="AA148" s="3" cm="1">
        <f t="array" ref="AA148">SPDAM(U148,V148,X148)</f>
        <v>43</v>
      </c>
      <c r="AB148" s="2">
        <f t="shared" si="96"/>
        <v>0</v>
      </c>
      <c r="AC148" s="3">
        <f t="shared" si="97"/>
        <v>0</v>
      </c>
      <c r="AD148" s="2">
        <f t="shared" si="98"/>
        <v>308.55529931317005</v>
      </c>
      <c r="AE148" s="3">
        <f t="shared" si="98"/>
        <v>43</v>
      </c>
      <c r="AF148" s="13">
        <f t="shared" ref="AF148:AF154" si="102">AD148+AG148</f>
        <v>608.55529931317005</v>
      </c>
      <c r="AG148" s="11">
        <v>300</v>
      </c>
    </row>
    <row r="149" spans="1:33">
      <c r="A149" s="5" t="s">
        <v>13</v>
      </c>
      <c r="B149" s="1">
        <v>1</v>
      </c>
      <c r="C149" s="1">
        <v>1</v>
      </c>
      <c r="D149" s="1">
        <v>111</v>
      </c>
      <c r="E149" s="1">
        <v>0.9</v>
      </c>
      <c r="F149" s="1">
        <v>8</v>
      </c>
      <c r="G149" s="1">
        <f t="shared" si="92"/>
        <v>1</v>
      </c>
      <c r="H149" s="1">
        <v>0</v>
      </c>
      <c r="I149" s="2" cm="1">
        <f t="array" ref="I149">SPDAM(D149,E149,F149)</f>
        <v>632.18139689999998</v>
      </c>
      <c r="J149" s="3" cm="1">
        <f t="array" ref="J149">SPDAM(D149,E149,G149)</f>
        <v>111</v>
      </c>
      <c r="K149" s="2">
        <f t="shared" si="93"/>
        <v>0</v>
      </c>
      <c r="L149" s="3">
        <f t="shared" si="94"/>
        <v>0</v>
      </c>
      <c r="M149" s="13">
        <f t="shared" si="99"/>
        <v>1032.1813969</v>
      </c>
      <c r="N149" s="11">
        <v>400</v>
      </c>
      <c r="R149" s="5" t="s">
        <v>13</v>
      </c>
      <c r="S149" s="1">
        <v>100</v>
      </c>
      <c r="T149" s="1">
        <v>15</v>
      </c>
      <c r="U149" s="1">
        <v>47</v>
      </c>
      <c r="V149" s="1">
        <v>0.89</v>
      </c>
      <c r="W149" s="1">
        <v>666</v>
      </c>
      <c r="X149" s="1">
        <f t="shared" si="95"/>
        <v>6.666666666666667</v>
      </c>
      <c r="Y149" s="1">
        <v>0</v>
      </c>
      <c r="Z149" s="2" cm="1">
        <f t="array" ref="Z149">SPDAM(U149,V149,W149)</f>
        <v>427.27272727272714</v>
      </c>
      <c r="AA149" s="3" cm="1">
        <f t="array" ref="AA149">SPDAM(U149,V149,X149)</f>
        <v>230.79866843002222</v>
      </c>
      <c r="AB149" s="2">
        <f t="shared" si="96"/>
        <v>0</v>
      </c>
      <c r="AC149" s="3">
        <f t="shared" si="97"/>
        <v>0</v>
      </c>
      <c r="AD149" s="2">
        <f t="shared" si="98"/>
        <v>427.27272727272714</v>
      </c>
      <c r="AE149" s="3">
        <f t="shared" si="98"/>
        <v>230.79866843002222</v>
      </c>
      <c r="AF149" s="13">
        <f t="shared" si="102"/>
        <v>827.27272727272714</v>
      </c>
      <c r="AG149" s="11">
        <v>400</v>
      </c>
    </row>
    <row r="150" spans="1:33">
      <c r="A150" s="5" t="s">
        <v>14</v>
      </c>
      <c r="B150" s="1">
        <v>1</v>
      </c>
      <c r="C150" s="1">
        <v>1</v>
      </c>
      <c r="D150" s="1">
        <v>22</v>
      </c>
      <c r="E150" s="1">
        <v>1</v>
      </c>
      <c r="F150" s="1">
        <v>7</v>
      </c>
      <c r="G150" s="1">
        <f t="shared" si="92"/>
        <v>1</v>
      </c>
      <c r="H150" s="1">
        <f>0.25*2.5</f>
        <v>0.625</v>
      </c>
      <c r="I150" s="2" cm="1">
        <f t="array" ref="I150">SPDAM(D150,E150,F150)</f>
        <v>154</v>
      </c>
      <c r="J150" s="3" cm="1">
        <f t="array" ref="J150">SPDAM(D150,E150,G150)</f>
        <v>22</v>
      </c>
      <c r="K150" s="2">
        <f t="shared" si="93"/>
        <v>4.375</v>
      </c>
      <c r="L150" s="3">
        <f t="shared" si="94"/>
        <v>0.625</v>
      </c>
      <c r="M150" s="13">
        <f t="shared" si="99"/>
        <v>154</v>
      </c>
      <c r="N150" s="11">
        <v>0</v>
      </c>
      <c r="R150" s="5" t="s">
        <v>14</v>
      </c>
      <c r="S150" s="1">
        <v>240</v>
      </c>
      <c r="T150" s="1">
        <v>5</v>
      </c>
      <c r="U150" s="1">
        <v>2.5</v>
      </c>
      <c r="V150" s="1">
        <v>1</v>
      </c>
      <c r="W150" s="1">
        <f>48*6</f>
        <v>288</v>
      </c>
      <c r="X150" s="1">
        <f t="shared" si="95"/>
        <v>48</v>
      </c>
      <c r="Y150" s="1">
        <v>0</v>
      </c>
      <c r="Z150" s="2" cm="1">
        <f t="array" ref="Z150">SPDAM(U150,V150,W150)</f>
        <v>720</v>
      </c>
      <c r="AA150" s="3" cm="1">
        <f t="array" ref="AA150">SPDAM(U150,V150,X150)</f>
        <v>120</v>
      </c>
      <c r="AB150" s="2">
        <f t="shared" si="96"/>
        <v>0</v>
      </c>
      <c r="AC150" s="3">
        <f t="shared" si="97"/>
        <v>0</v>
      </c>
      <c r="AD150" s="2">
        <f t="shared" si="98"/>
        <v>720</v>
      </c>
      <c r="AE150" s="3">
        <f t="shared" si="98"/>
        <v>120</v>
      </c>
      <c r="AF150" s="13">
        <f t="shared" si="102"/>
        <v>720</v>
      </c>
      <c r="AG150" s="11">
        <v>0</v>
      </c>
    </row>
    <row r="151" spans="1:33">
      <c r="A151" s="12" t="s">
        <v>15</v>
      </c>
      <c r="B151" s="1">
        <v>1</v>
      </c>
      <c r="C151" s="1">
        <v>1</v>
      </c>
      <c r="D151" s="1">
        <v>0</v>
      </c>
      <c r="E151" s="1">
        <v>1</v>
      </c>
      <c r="F151" s="1">
        <v>1</v>
      </c>
      <c r="G151" s="1">
        <f t="shared" si="92"/>
        <v>1</v>
      </c>
      <c r="H151" s="1">
        <v>0</v>
      </c>
      <c r="I151" s="2" cm="1">
        <f t="array" ref="I151">SPDAM(D151,E151,F151)</f>
        <v>0</v>
      </c>
      <c r="J151" s="3" cm="1">
        <f t="array" ref="J151">SPDAM(D151,E151,G151)</f>
        <v>0</v>
      </c>
      <c r="K151" s="2">
        <f t="shared" si="93"/>
        <v>0</v>
      </c>
      <c r="L151" s="3">
        <f t="shared" si="94"/>
        <v>0</v>
      </c>
      <c r="M151" s="13">
        <f>I151+N151</f>
        <v>0</v>
      </c>
      <c r="N151" s="11">
        <v>0</v>
      </c>
      <c r="O151" s="13">
        <f>M146+M147</f>
        <v>981.45033332187518</v>
      </c>
      <c r="R151" s="12" t="s">
        <v>15</v>
      </c>
      <c r="S151" s="1">
        <v>1</v>
      </c>
      <c r="T151" s="1">
        <v>1</v>
      </c>
      <c r="U151" s="1">
        <v>150</v>
      </c>
      <c r="V151" s="1">
        <v>0.9</v>
      </c>
      <c r="W151" s="1">
        <v>6.5</v>
      </c>
      <c r="X151" s="1">
        <f t="shared" si="95"/>
        <v>1</v>
      </c>
      <c r="Y151" s="1">
        <v>60</v>
      </c>
      <c r="Z151" s="2" cm="1">
        <f t="array" ref="Z151">SPDAM(U151,V151,W151)</f>
        <v>743.74619910110539</v>
      </c>
      <c r="AA151" s="3" cm="1">
        <f t="array" ref="AA151">SPDAM(U151,V151,X151)</f>
        <v>150</v>
      </c>
      <c r="AB151" s="2">
        <f t="shared" si="96"/>
        <v>390</v>
      </c>
      <c r="AC151" s="3">
        <f t="shared" si="97"/>
        <v>60</v>
      </c>
      <c r="AD151" s="2">
        <f t="shared" ref="AD151:AD154" si="103">Z151+AB151</f>
        <v>1133.7461991011055</v>
      </c>
      <c r="AE151" s="3">
        <f t="shared" ref="AE151:AE154" si="104">AA151+AC151</f>
        <v>210</v>
      </c>
      <c r="AF151" s="13">
        <f t="shared" si="102"/>
        <v>1133.7461991011055</v>
      </c>
      <c r="AG151" s="11">
        <v>0</v>
      </c>
    </row>
    <row r="152" spans="1:33">
      <c r="A152" s="5" t="s">
        <v>16</v>
      </c>
      <c r="B152" s="1">
        <v>1</v>
      </c>
      <c r="C152" s="1">
        <v>1</v>
      </c>
      <c r="D152" s="1">
        <f>44*9</f>
        <v>396</v>
      </c>
      <c r="E152" s="1">
        <v>1</v>
      </c>
      <c r="F152" s="1">
        <v>1.3</v>
      </c>
      <c r="G152" s="1">
        <f t="shared" si="92"/>
        <v>1</v>
      </c>
      <c r="H152" s="1">
        <f>0.05*2.2*9</f>
        <v>0.9900000000000001</v>
      </c>
      <c r="I152" s="2" cm="1">
        <f t="array" ref="I152">SPDAM(D152,E152,F152)</f>
        <v>514.80000000000007</v>
      </c>
      <c r="J152" s="3" cm="1">
        <f t="array" ref="J152">SPDAM(D152,E152,G152)</f>
        <v>396</v>
      </c>
      <c r="K152" s="2">
        <f t="shared" si="93"/>
        <v>1.2870000000000001</v>
      </c>
      <c r="L152" s="3">
        <f t="shared" si="94"/>
        <v>0.9900000000000001</v>
      </c>
      <c r="M152" s="13">
        <f t="shared" si="99"/>
        <v>1364.8000000000002</v>
      </c>
      <c r="N152" s="18">
        <f>550+300</f>
        <v>850</v>
      </c>
      <c r="R152" s="12" t="s">
        <v>16</v>
      </c>
      <c r="S152" s="1">
        <v>1</v>
      </c>
      <c r="T152" s="1">
        <v>1</v>
      </c>
      <c r="U152" s="1">
        <v>70</v>
      </c>
      <c r="V152" s="1">
        <v>0.97499999999999998</v>
      </c>
      <c r="W152" s="1">
        <v>15</v>
      </c>
      <c r="X152" s="1">
        <f t="shared" si="95"/>
        <v>1</v>
      </c>
      <c r="Y152" s="1">
        <v>75</v>
      </c>
      <c r="Z152" s="2" cm="1">
        <f t="array" ref="Z152">SPDAM(U152,V152,W152)</f>
        <v>884.7420804210135</v>
      </c>
      <c r="AA152" s="3" cm="1">
        <f t="array" ref="AA152">SPDAM(U152,V152,X152)</f>
        <v>70</v>
      </c>
      <c r="AB152" s="2">
        <f>W152*6</f>
        <v>90</v>
      </c>
      <c r="AC152" s="3">
        <f t="shared" si="97"/>
        <v>75</v>
      </c>
      <c r="AD152" s="2">
        <f t="shared" si="103"/>
        <v>974.7420804210135</v>
      </c>
      <c r="AE152" s="3">
        <f t="shared" si="104"/>
        <v>145</v>
      </c>
      <c r="AF152" s="13">
        <f t="shared" si="102"/>
        <v>1574.7420804210135</v>
      </c>
      <c r="AG152" s="11">
        <v>600</v>
      </c>
    </row>
    <row r="153" spans="1:33">
      <c r="A153" s="28" t="s">
        <v>69</v>
      </c>
      <c r="B153" s="1">
        <v>1</v>
      </c>
      <c r="C153" s="1">
        <v>1</v>
      </c>
      <c r="D153" s="1">
        <v>70</v>
      </c>
      <c r="E153" s="1">
        <v>0.92</v>
      </c>
      <c r="F153" s="1">
        <v>6.5</v>
      </c>
      <c r="G153" s="1">
        <f t="shared" si="92"/>
        <v>1</v>
      </c>
      <c r="H153" s="1">
        <f>0.1*2.5</f>
        <v>0.25</v>
      </c>
      <c r="I153" s="2" cm="1">
        <f t="array" ref="I153">SPDAM(D153,E153,F153)</f>
        <v>366.10412479132071</v>
      </c>
      <c r="J153" s="3" cm="1">
        <f t="array" ref="J153">SPDAM(D153,E153,G153)</f>
        <v>70</v>
      </c>
      <c r="K153" s="2">
        <f t="shared" si="93"/>
        <v>1.625</v>
      </c>
      <c r="L153" s="3">
        <f t="shared" si="94"/>
        <v>0.25</v>
      </c>
      <c r="M153" s="13">
        <f>I153+N153</f>
        <v>916.10412479132071</v>
      </c>
      <c r="N153" s="11">
        <v>550</v>
      </c>
      <c r="R153" s="12" t="s">
        <v>17</v>
      </c>
      <c r="S153" s="1">
        <v>1</v>
      </c>
      <c r="T153" s="1">
        <v>1</v>
      </c>
      <c r="U153" s="1">
        <v>7</v>
      </c>
      <c r="V153" s="1">
        <v>1</v>
      </c>
      <c r="W153" s="1">
        <v>6</v>
      </c>
      <c r="X153" s="1">
        <f t="shared" si="95"/>
        <v>1</v>
      </c>
      <c r="Y153" s="1">
        <v>255</v>
      </c>
      <c r="Z153" s="2" cm="1">
        <f t="array" ref="Z153">SPDAM(U153,V153,W153)</f>
        <v>42</v>
      </c>
      <c r="AA153" s="3" cm="1">
        <f t="array" ref="AA153">SPDAM(U153,V153,X153)</f>
        <v>7</v>
      </c>
      <c r="AB153" s="2">
        <f t="shared" si="96"/>
        <v>1530</v>
      </c>
      <c r="AC153" s="3">
        <f t="shared" si="97"/>
        <v>255</v>
      </c>
      <c r="AD153" s="2">
        <f t="shared" si="103"/>
        <v>1572</v>
      </c>
      <c r="AE153" s="3">
        <f t="shared" si="104"/>
        <v>262</v>
      </c>
      <c r="AF153" s="13">
        <f t="shared" si="102"/>
        <v>2172</v>
      </c>
      <c r="AG153" s="11">
        <v>600</v>
      </c>
    </row>
    <row r="154" spans="1:33">
      <c r="A154" s="28" t="s">
        <v>70</v>
      </c>
      <c r="B154" s="1">
        <v>1</v>
      </c>
      <c r="C154" s="1">
        <v>1</v>
      </c>
      <c r="D154" s="1">
        <v>60</v>
      </c>
      <c r="E154" s="1">
        <v>0.9</v>
      </c>
      <c r="F154" s="1">
        <v>7.5</v>
      </c>
      <c r="G154" s="1">
        <f t="shared" si="92"/>
        <v>1</v>
      </c>
      <c r="H154" s="1">
        <v>53</v>
      </c>
      <c r="I154" s="2" cm="1">
        <f t="array" ref="I154">SPDAM(D154,E154,F154)</f>
        <v>327.74863167639796</v>
      </c>
      <c r="J154" s="3" cm="1">
        <f t="array" ref="J154">SPDAM(D154,E154,H154)</f>
        <v>597.74573872431836</v>
      </c>
      <c r="K154" s="2">
        <f t="shared" si="93"/>
        <v>397.5</v>
      </c>
      <c r="L154" s="3">
        <f t="shared" si="94"/>
        <v>53</v>
      </c>
      <c r="M154" s="13">
        <f t="shared" si="99"/>
        <v>327.74863167639796</v>
      </c>
      <c r="N154" s="11">
        <v>0</v>
      </c>
      <c r="R154" s="5" t="s">
        <v>18</v>
      </c>
      <c r="S154" s="1">
        <v>1</v>
      </c>
      <c r="T154" s="1">
        <v>1</v>
      </c>
      <c r="U154" s="1">
        <v>1</v>
      </c>
      <c r="V154" s="1">
        <v>0.9</v>
      </c>
      <c r="W154" s="1">
        <v>7</v>
      </c>
      <c r="X154" s="1">
        <f t="shared" si="95"/>
        <v>1</v>
      </c>
      <c r="Y154" s="1">
        <v>200</v>
      </c>
      <c r="Z154" s="2" cm="1">
        <f t="array" ref="Z154">SPDAM(U154,V154,W154)</f>
        <v>5.2170310000000004</v>
      </c>
      <c r="AA154" s="3" cm="1">
        <f t="array" ref="AA154">SPDAM(U154,V154,X154)</f>
        <v>1</v>
      </c>
      <c r="AB154" s="2">
        <f t="shared" si="96"/>
        <v>1400</v>
      </c>
      <c r="AC154" s="3">
        <f t="shared" si="97"/>
        <v>200</v>
      </c>
      <c r="AD154" s="2">
        <f t="shared" si="103"/>
        <v>1405.2170309999999</v>
      </c>
      <c r="AE154" s="3">
        <f t="shared" si="104"/>
        <v>201</v>
      </c>
      <c r="AF154" s="13">
        <f t="shared" si="102"/>
        <v>2155.2170310000001</v>
      </c>
      <c r="AG154" s="11">
        <v>750</v>
      </c>
    </row>
    <row r="155" spans="1:33">
      <c r="A155" s="28" t="s">
        <v>71</v>
      </c>
      <c r="B155" s="1">
        <v>1</v>
      </c>
      <c r="C155" s="1">
        <v>1</v>
      </c>
      <c r="D155" s="1">
        <f>62*3</f>
        <v>186</v>
      </c>
      <c r="E155" s="1">
        <v>0.55000000000000004</v>
      </c>
      <c r="F155" s="1">
        <v>5</v>
      </c>
      <c r="G155" s="1">
        <f t="shared" ref="G155:G156" si="105">MIN(B155/C155,F155)</f>
        <v>1</v>
      </c>
      <c r="H155" s="1">
        <f>0.05*2.5</f>
        <v>0.125</v>
      </c>
      <c r="I155" s="2" cm="1">
        <f t="array" ref="I155">SPDAM(D155,E155,F155)</f>
        <v>392.53091250000006</v>
      </c>
      <c r="J155" s="3" cm="1">
        <f t="array" ref="J155">SPDAM(D155,E155,H155)</f>
        <v>29.762331696279716</v>
      </c>
      <c r="K155" s="2">
        <f t="shared" ref="K155:K156" si="106">F155*H155</f>
        <v>0.625</v>
      </c>
      <c r="L155" s="3">
        <f t="shared" ref="L155:L156" si="107">G155*H155</f>
        <v>0.125</v>
      </c>
      <c r="M155" s="13">
        <f t="shared" ref="M155:M156" si="108">I155+N155</f>
        <v>392.53091250000006</v>
      </c>
      <c r="N155" s="11">
        <v>0</v>
      </c>
      <c r="R155" s="9" t="s">
        <v>28</v>
      </c>
      <c r="S155" s="10">
        <v>6800</v>
      </c>
      <c r="T155" s="10">
        <v>5</v>
      </c>
      <c r="U155" s="10"/>
      <c r="V155" s="10">
        <v>1.1499999999999999</v>
      </c>
      <c r="W155" s="10">
        <v>1</v>
      </c>
      <c r="X155" s="10">
        <v>1</v>
      </c>
      <c r="Y155" s="10"/>
      <c r="Z155" s="2"/>
      <c r="AA155" s="3"/>
      <c r="AB155" s="2"/>
      <c r="AC155" s="3"/>
    </row>
    <row r="156" spans="1:33">
      <c r="A156" s="28" t="s">
        <v>72</v>
      </c>
      <c r="B156" s="1">
        <v>1</v>
      </c>
      <c r="C156" s="1">
        <v>1</v>
      </c>
      <c r="D156" s="1">
        <v>100</v>
      </c>
      <c r="E156" s="1">
        <v>0.99</v>
      </c>
      <c r="F156" s="1">
        <v>3.5</v>
      </c>
      <c r="G156" s="1">
        <f t="shared" si="105"/>
        <v>1</v>
      </c>
      <c r="H156" s="1">
        <v>0</v>
      </c>
      <c r="I156" s="2" cm="1">
        <f t="array" ref="I156">SPDAM(D156,E156,F156)</f>
        <v>345.64684762883735</v>
      </c>
      <c r="J156" s="3" cm="1">
        <f t="array" ref="J156">SPDAM(D156,E156,H156)</f>
        <v>0</v>
      </c>
      <c r="K156" s="2">
        <f t="shared" si="106"/>
        <v>0</v>
      </c>
      <c r="L156" s="3">
        <f t="shared" si="107"/>
        <v>0</v>
      </c>
      <c r="M156" s="13">
        <f t="shared" si="108"/>
        <v>345.64684762883735</v>
      </c>
      <c r="N156" s="11">
        <v>0</v>
      </c>
      <c r="O156" s="13">
        <f>M153+M154+M155+M156</f>
        <v>1982.0305165965563</v>
      </c>
    </row>
    <row r="157" spans="1:33">
      <c r="A157" s="9" t="s">
        <v>28</v>
      </c>
      <c r="B157" s="10">
        <v>6700</v>
      </c>
      <c r="C157" s="10">
        <v>4</v>
      </c>
      <c r="D157" s="10"/>
      <c r="E157" s="10">
        <v>1.05</v>
      </c>
      <c r="F157" s="10">
        <v>1</v>
      </c>
      <c r="G157" s="10">
        <v>1.1000000000000001</v>
      </c>
      <c r="H157" s="10"/>
      <c r="I157" s="2"/>
      <c r="J157" s="3"/>
      <c r="K157" s="2"/>
      <c r="L157" s="3"/>
      <c r="M157" s="13"/>
      <c r="N157" s="11"/>
    </row>
    <row r="159" spans="1:33">
      <c r="A159" s="30" t="s">
        <v>74</v>
      </c>
      <c r="B159" s="4" t="s">
        <v>12</v>
      </c>
      <c r="C159" s="4" t="s">
        <v>2</v>
      </c>
      <c r="D159" s="4" t="s">
        <v>1</v>
      </c>
      <c r="E159" s="4" t="s">
        <v>3</v>
      </c>
      <c r="F159" s="4" t="s">
        <v>4</v>
      </c>
      <c r="G159" s="4" t="s">
        <v>8</v>
      </c>
      <c r="H159" s="4" t="s">
        <v>11</v>
      </c>
      <c r="I159" s="4" t="s">
        <v>9</v>
      </c>
      <c r="J159" s="4" t="s">
        <v>10</v>
      </c>
      <c r="K159" s="4" t="s">
        <v>19</v>
      </c>
      <c r="L159" s="4" t="s">
        <v>20</v>
      </c>
      <c r="M159" s="15" t="s">
        <v>9</v>
      </c>
      <c r="N159" s="14" t="s">
        <v>36</v>
      </c>
      <c r="R159" s="30" t="s">
        <v>75</v>
      </c>
      <c r="S159" s="4" t="s">
        <v>12</v>
      </c>
      <c r="T159" s="4" t="s">
        <v>2</v>
      </c>
      <c r="U159" s="4" t="s">
        <v>1</v>
      </c>
      <c r="V159" s="4" t="s">
        <v>3</v>
      </c>
      <c r="W159" s="4" t="s">
        <v>4</v>
      </c>
      <c r="X159" s="4" t="s">
        <v>8</v>
      </c>
      <c r="Y159" s="4" t="s">
        <v>11</v>
      </c>
      <c r="Z159" s="4" t="s">
        <v>9</v>
      </c>
      <c r="AA159" s="4" t="s">
        <v>10</v>
      </c>
      <c r="AB159" s="4" t="s">
        <v>19</v>
      </c>
      <c r="AC159" s="4" t="s">
        <v>20</v>
      </c>
      <c r="AD159" s="15" t="s">
        <v>9</v>
      </c>
      <c r="AE159" s="14" t="s">
        <v>36</v>
      </c>
    </row>
    <row r="160" spans="1:33">
      <c r="A160" s="5" t="s">
        <v>5</v>
      </c>
      <c r="B160" s="1">
        <v>1</v>
      </c>
      <c r="C160" s="1">
        <v>1</v>
      </c>
      <c r="D160" s="1">
        <v>121</v>
      </c>
      <c r="E160" s="1">
        <v>0.8</v>
      </c>
      <c r="F160" s="1">
        <v>4.5</v>
      </c>
      <c r="G160" s="1">
        <f t="shared" ref="G160:G168" si="109">MIN(B160/C160,F160)</f>
        <v>1</v>
      </c>
      <c r="H160" s="1">
        <v>0</v>
      </c>
      <c r="I160" s="2" cm="1">
        <f t="array" ref="I160">SPDAM(D160,E160,F160)</f>
        <v>383.35378665269286</v>
      </c>
      <c r="J160" s="3" cm="1">
        <f t="array" ref="J160">SPDAM(D160,E160,G160)</f>
        <v>121</v>
      </c>
      <c r="K160" s="2">
        <f t="shared" ref="K160:K168" si="110">F160*H160</f>
        <v>0</v>
      </c>
      <c r="L160" s="3">
        <f t="shared" ref="L160:L168" si="111">G160*H160</f>
        <v>0</v>
      </c>
      <c r="M160" s="13">
        <f>I160+N160</f>
        <v>383.35378665269286</v>
      </c>
      <c r="N160" s="11">
        <v>0</v>
      </c>
      <c r="R160" s="5" t="s">
        <v>5</v>
      </c>
      <c r="S160" s="1">
        <v>1</v>
      </c>
      <c r="T160" s="1">
        <v>1</v>
      </c>
      <c r="U160" s="1">
        <f>56*2</f>
        <v>112</v>
      </c>
      <c r="V160" s="1">
        <v>0.9</v>
      </c>
      <c r="W160" s="1">
        <v>3</v>
      </c>
      <c r="X160" s="1">
        <f t="shared" ref="X160:X168" si="112">MIN(S160/T160,W160)</f>
        <v>1</v>
      </c>
      <c r="Y160" s="1">
        <f>0.075*3</f>
        <v>0.22499999999999998</v>
      </c>
      <c r="Z160" s="2" cm="1">
        <f t="array" ref="Z160">SPDAM(U160,V160,W160)</f>
        <v>303.52</v>
      </c>
      <c r="AA160" s="3" cm="1">
        <f t="array" ref="AA160">SPDAM(U160,V160,X160)</f>
        <v>112</v>
      </c>
      <c r="AB160" s="2">
        <f t="shared" ref="AB160:AB168" si="113">W160*Y160</f>
        <v>0.67499999999999993</v>
      </c>
      <c r="AC160" s="3">
        <f t="shared" ref="AC160:AC168" si="114">X160*Y160</f>
        <v>0.22499999999999998</v>
      </c>
      <c r="AD160" s="13">
        <f>Z160+AE160</f>
        <v>303.52</v>
      </c>
      <c r="AE160" s="11">
        <v>0</v>
      </c>
    </row>
    <row r="161" spans="1:32">
      <c r="A161" s="12" t="s">
        <v>6</v>
      </c>
      <c r="B161" s="1">
        <v>1</v>
      </c>
      <c r="C161" s="1">
        <v>1</v>
      </c>
      <c r="D161" s="1">
        <v>222</v>
      </c>
      <c r="E161" s="1">
        <v>0.85</v>
      </c>
      <c r="F161" s="1">
        <v>8</v>
      </c>
      <c r="G161" s="1">
        <f t="shared" si="109"/>
        <v>1</v>
      </c>
      <c r="H161" s="1">
        <v>0</v>
      </c>
      <c r="I161" s="2" cm="1">
        <f t="array" ref="I161">SPDAM(D161,E161,F161)</f>
        <v>1076.7140229421875</v>
      </c>
      <c r="J161" s="3" cm="1">
        <f t="array" ref="J161">SPDAM(D161,E161,G161)</f>
        <v>222</v>
      </c>
      <c r="K161" s="2">
        <f t="shared" si="110"/>
        <v>0</v>
      </c>
      <c r="L161" s="3">
        <f t="shared" si="111"/>
        <v>0</v>
      </c>
      <c r="M161" s="13">
        <f t="shared" ref="M161:M168" si="115">I161+N161</f>
        <v>1076.7140229421875</v>
      </c>
      <c r="N161" s="11">
        <v>0</v>
      </c>
      <c r="R161" s="12" t="s">
        <v>6</v>
      </c>
      <c r="S161" s="1">
        <v>1</v>
      </c>
      <c r="T161" s="1">
        <v>1</v>
      </c>
      <c r="U161" s="1">
        <v>188</v>
      </c>
      <c r="V161" s="1">
        <v>0.9</v>
      </c>
      <c r="W161" s="1">
        <v>4.5</v>
      </c>
      <c r="X161" s="1">
        <f t="shared" si="112"/>
        <v>1</v>
      </c>
      <c r="Y161" s="1">
        <f>0.175*2.5</f>
        <v>0.4375</v>
      </c>
      <c r="Z161" s="2" cm="1">
        <f t="array" ref="Z161">SPDAM(U161,V161,W161)</f>
        <v>709.829509720229</v>
      </c>
      <c r="AA161" s="3" cm="1">
        <f t="array" ref="AA161">SPDAM(U161,V161,X161)</f>
        <v>188</v>
      </c>
      <c r="AB161" s="2">
        <f t="shared" si="113"/>
        <v>1.96875</v>
      </c>
      <c r="AC161" s="3">
        <f t="shared" si="114"/>
        <v>0.4375</v>
      </c>
      <c r="AD161" s="13">
        <f t="shared" ref="AD161:AD168" si="116">Z161+AE161</f>
        <v>709.829509720229</v>
      </c>
      <c r="AE161" s="11">
        <v>0</v>
      </c>
    </row>
    <row r="162" spans="1:32">
      <c r="A162" s="5" t="s">
        <v>7</v>
      </c>
      <c r="B162" s="1">
        <v>1</v>
      </c>
      <c r="C162" s="1">
        <v>1</v>
      </c>
      <c r="D162" s="1">
        <v>63</v>
      </c>
      <c r="E162" s="1">
        <v>0.9</v>
      </c>
      <c r="F162" s="1">
        <v>10</v>
      </c>
      <c r="G162" s="1">
        <f t="shared" si="109"/>
        <v>1</v>
      </c>
      <c r="H162" s="1">
        <f>0.1*2.5</f>
        <v>0.25</v>
      </c>
      <c r="I162" s="2" cm="1">
        <f t="array" ref="I162">SPDAM(D162,E162,F162)</f>
        <v>410.33258273700005</v>
      </c>
      <c r="J162" s="3" cm="1">
        <f t="array" ref="J162">SPDAM(D162,E162,G162)</f>
        <v>63</v>
      </c>
      <c r="K162" s="2">
        <f t="shared" si="110"/>
        <v>2.5</v>
      </c>
      <c r="L162" s="3">
        <f t="shared" si="111"/>
        <v>0.25</v>
      </c>
      <c r="M162" s="13">
        <f t="shared" si="115"/>
        <v>610.33258273700005</v>
      </c>
      <c r="N162" s="11">
        <v>200</v>
      </c>
      <c r="R162" s="5" t="s">
        <v>7</v>
      </c>
      <c r="S162" s="1">
        <f>120*1.75</f>
        <v>210</v>
      </c>
      <c r="T162" s="1">
        <v>30</v>
      </c>
      <c r="U162" s="1">
        <v>52</v>
      </c>
      <c r="V162" s="1">
        <v>0.9</v>
      </c>
      <c r="W162" s="1">
        <v>12</v>
      </c>
      <c r="X162" s="1">
        <f t="shared" si="112"/>
        <v>7</v>
      </c>
      <c r="Y162" s="1">
        <f>0.05*3</f>
        <v>0.15000000000000002</v>
      </c>
      <c r="Z162" s="2" cm="1">
        <f t="array" ref="Z162">SPDAM(U162,V162,W162)</f>
        <v>373.13664102987991</v>
      </c>
      <c r="AA162" s="3" cm="1">
        <f t="array" ref="AA162">SPDAM(U162,V162,X162)</f>
        <v>271.28561200000001</v>
      </c>
      <c r="AB162" s="2">
        <f t="shared" si="113"/>
        <v>1.8000000000000003</v>
      </c>
      <c r="AC162" s="3">
        <f t="shared" si="114"/>
        <v>1.0500000000000003</v>
      </c>
      <c r="AD162" s="13">
        <f t="shared" si="116"/>
        <v>573.13664102987991</v>
      </c>
      <c r="AE162" s="11">
        <v>200</v>
      </c>
    </row>
    <row r="163" spans="1:32">
      <c r="A163" s="12" t="s">
        <v>13</v>
      </c>
      <c r="B163" s="1">
        <v>1</v>
      </c>
      <c r="C163" s="1">
        <v>1</v>
      </c>
      <c r="D163" s="1">
        <v>142</v>
      </c>
      <c r="E163" s="1">
        <v>0.9</v>
      </c>
      <c r="F163" s="1">
        <v>10</v>
      </c>
      <c r="G163" s="1">
        <f t="shared" si="109"/>
        <v>1</v>
      </c>
      <c r="H163" s="1">
        <f>0.2*(3.5-1)</f>
        <v>0.5</v>
      </c>
      <c r="I163" s="2" cm="1">
        <f t="array" ref="I163">SPDAM(D163,E163,F163)</f>
        <v>924.87661505799997</v>
      </c>
      <c r="J163" s="3" cm="1">
        <f t="array" ref="J163">SPDAM(D163,E163,G163)</f>
        <v>142</v>
      </c>
      <c r="K163" s="2">
        <f t="shared" si="110"/>
        <v>5</v>
      </c>
      <c r="L163" s="3">
        <f t="shared" si="111"/>
        <v>0.5</v>
      </c>
      <c r="M163" s="13">
        <f t="shared" si="115"/>
        <v>1524.876615058</v>
      </c>
      <c r="N163" s="11">
        <v>600</v>
      </c>
      <c r="O163">
        <v>2</v>
      </c>
      <c r="R163" s="5" t="s">
        <v>13</v>
      </c>
      <c r="S163" s="1">
        <v>1</v>
      </c>
      <c r="T163" s="1">
        <v>1</v>
      </c>
      <c r="U163" s="1">
        <f>72*2</f>
        <v>144</v>
      </c>
      <c r="V163" s="1">
        <v>1</v>
      </c>
      <c r="W163" s="1">
        <v>3</v>
      </c>
      <c r="X163" s="1">
        <f t="shared" si="112"/>
        <v>1</v>
      </c>
      <c r="Y163" s="1">
        <f>0.15*2.5</f>
        <v>0.375</v>
      </c>
      <c r="Z163" s="2" cm="1">
        <f t="array" ref="Z163">SPDAM(U163,V163,W163)</f>
        <v>432</v>
      </c>
      <c r="AA163" s="3" cm="1">
        <f t="array" ref="AA163">SPDAM(U163,V163,X163)</f>
        <v>144</v>
      </c>
      <c r="AB163" s="2">
        <f t="shared" si="113"/>
        <v>1.125</v>
      </c>
      <c r="AC163" s="3">
        <f t="shared" si="114"/>
        <v>0.375</v>
      </c>
      <c r="AD163" s="13">
        <f t="shared" si="116"/>
        <v>832</v>
      </c>
      <c r="AE163" s="11">
        <v>400</v>
      </c>
    </row>
    <row r="164" spans="1:32">
      <c r="A164" s="5" t="s">
        <v>14</v>
      </c>
      <c r="B164" s="1">
        <v>1</v>
      </c>
      <c r="C164" s="1">
        <v>1</v>
      </c>
      <c r="D164" s="1">
        <v>20</v>
      </c>
      <c r="E164" s="1">
        <v>1</v>
      </c>
      <c r="F164" s="1">
        <v>15</v>
      </c>
      <c r="G164" s="1">
        <f t="shared" si="109"/>
        <v>1</v>
      </c>
      <c r="H164" s="1">
        <f>0.05*2</f>
        <v>0.1</v>
      </c>
      <c r="I164" s="2" cm="1">
        <f t="array" ref="I164">SPDAM(D164,E164,F164)</f>
        <v>300</v>
      </c>
      <c r="J164" s="3" cm="1">
        <f t="array" ref="J164">SPDAM(D164,E164,G164)</f>
        <v>20</v>
      </c>
      <c r="K164" s="2">
        <f t="shared" si="110"/>
        <v>1.5</v>
      </c>
      <c r="L164" s="3">
        <f t="shared" si="111"/>
        <v>0.1</v>
      </c>
      <c r="M164" s="13">
        <f t="shared" si="115"/>
        <v>300</v>
      </c>
      <c r="N164" s="11">
        <v>0</v>
      </c>
      <c r="R164" s="5" t="s">
        <v>14</v>
      </c>
      <c r="S164" s="1">
        <v>1</v>
      </c>
      <c r="T164" s="1">
        <v>1</v>
      </c>
      <c r="U164" s="1">
        <f>14*18</f>
        <v>252</v>
      </c>
      <c r="V164" s="1">
        <v>1</v>
      </c>
      <c r="W164" s="1">
        <v>1.2</v>
      </c>
      <c r="X164" s="1">
        <f t="shared" si="112"/>
        <v>1</v>
      </c>
      <c r="Y164" s="1">
        <f>0.05*2.5*25</f>
        <v>3.125</v>
      </c>
      <c r="Z164" s="2" cm="1">
        <f t="array" ref="Z164">SPDAM(U164,V164,W164)</f>
        <v>302.39999999999998</v>
      </c>
      <c r="AA164" s="3" cm="1">
        <f t="array" ref="AA164">SPDAM(U164,V164,X164)</f>
        <v>252</v>
      </c>
      <c r="AB164" s="2">
        <f t="shared" si="113"/>
        <v>3.75</v>
      </c>
      <c r="AC164" s="3">
        <f t="shared" si="114"/>
        <v>3.125</v>
      </c>
      <c r="AD164" s="13">
        <f t="shared" si="116"/>
        <v>302.39999999999998</v>
      </c>
      <c r="AE164" s="11">
        <v>0</v>
      </c>
    </row>
    <row r="165" spans="1:32">
      <c r="A165" s="12" t="s">
        <v>15</v>
      </c>
      <c r="B165" s="1">
        <v>1</v>
      </c>
      <c r="C165" s="1">
        <v>1</v>
      </c>
      <c r="D165" s="1">
        <v>80</v>
      </c>
      <c r="E165" s="1">
        <v>1</v>
      </c>
      <c r="F165" s="1">
        <v>6</v>
      </c>
      <c r="G165" s="1">
        <f t="shared" si="109"/>
        <v>1</v>
      </c>
      <c r="H165" s="1">
        <f>1*3.5</f>
        <v>3.5</v>
      </c>
      <c r="I165" s="2" cm="1">
        <f t="array" ref="I165">SPDAM(D165,E165,F165)</f>
        <v>480</v>
      </c>
      <c r="J165" s="3" cm="1">
        <f t="array" ref="J165">SPDAM(D165,E165,G165)</f>
        <v>80</v>
      </c>
      <c r="K165" s="2">
        <f t="shared" si="110"/>
        <v>21</v>
      </c>
      <c r="L165" s="3">
        <f t="shared" si="111"/>
        <v>3.5</v>
      </c>
      <c r="M165" s="13">
        <f t="shared" si="115"/>
        <v>480</v>
      </c>
      <c r="N165" s="11">
        <v>0</v>
      </c>
      <c r="R165" s="12" t="s">
        <v>15</v>
      </c>
      <c r="S165" s="1">
        <v>1</v>
      </c>
      <c r="T165" s="1">
        <v>1</v>
      </c>
      <c r="U165" s="1">
        <v>149</v>
      </c>
      <c r="V165" s="1">
        <v>0.95</v>
      </c>
      <c r="W165" s="1">
        <v>10</v>
      </c>
      <c r="X165" s="1">
        <f t="shared" si="112"/>
        <v>1</v>
      </c>
      <c r="Y165" s="1">
        <f>0.35*1.5</f>
        <v>0.52499999999999991</v>
      </c>
      <c r="Z165" s="2" cm="1">
        <f t="array" ref="Z165">SPDAM(U165,V165,W165)</f>
        <v>1195.7639210696304</v>
      </c>
      <c r="AA165" s="3" cm="1">
        <f t="array" ref="AA165">SPDAM(U165,V165,X165)</f>
        <v>149</v>
      </c>
      <c r="AB165" s="2">
        <f t="shared" si="113"/>
        <v>5.2499999999999991</v>
      </c>
      <c r="AC165" s="3">
        <f t="shared" si="114"/>
        <v>0.52499999999999991</v>
      </c>
      <c r="AD165" s="13">
        <f t="shared" si="116"/>
        <v>1195.7639210696304</v>
      </c>
      <c r="AE165" s="11">
        <v>0</v>
      </c>
    </row>
    <row r="166" spans="1:32">
      <c r="A166" s="5" t="s">
        <v>16</v>
      </c>
      <c r="B166" s="1">
        <v>1</v>
      </c>
      <c r="C166" s="1">
        <v>1</v>
      </c>
      <c r="D166" s="1">
        <v>155</v>
      </c>
      <c r="E166" s="1">
        <v>0.94</v>
      </c>
      <c r="F166" s="1">
        <v>10</v>
      </c>
      <c r="G166" s="1">
        <f t="shared" si="109"/>
        <v>1</v>
      </c>
      <c r="H166" s="1">
        <f>0.35*2.5</f>
        <v>0.875</v>
      </c>
      <c r="I166" s="2" cm="1">
        <f t="array" ref="I166">SPDAM(D166,E166,F166)</f>
        <v>1191.9109552548423</v>
      </c>
      <c r="J166" s="3" cm="1">
        <f t="array" ref="J166">SPDAM(D166,E166,G166)</f>
        <v>155</v>
      </c>
      <c r="K166" s="2">
        <f t="shared" si="110"/>
        <v>8.75</v>
      </c>
      <c r="L166" s="3">
        <f t="shared" si="111"/>
        <v>0.875</v>
      </c>
      <c r="M166" s="13">
        <f t="shared" si="115"/>
        <v>1791.9109552548423</v>
      </c>
      <c r="N166" s="11">
        <v>600</v>
      </c>
      <c r="R166" s="5" t="s">
        <v>16</v>
      </c>
      <c r="S166" s="1">
        <v>1</v>
      </c>
      <c r="T166" s="1">
        <v>1</v>
      </c>
      <c r="U166" s="1">
        <v>188</v>
      </c>
      <c r="V166" s="1">
        <v>1</v>
      </c>
      <c r="W166" s="1">
        <v>5</v>
      </c>
      <c r="X166" s="1">
        <f t="shared" si="112"/>
        <v>1</v>
      </c>
      <c r="Y166" s="1">
        <f>0.25*2.5</f>
        <v>0.625</v>
      </c>
      <c r="Z166" s="2" cm="1">
        <f t="array" ref="Z166">SPDAM(U166,V166,W166)</f>
        <v>940</v>
      </c>
      <c r="AA166" s="3" cm="1">
        <f t="array" ref="AA166">SPDAM(U166,V166,X166)</f>
        <v>188</v>
      </c>
      <c r="AB166" s="2">
        <f t="shared" si="113"/>
        <v>3.125</v>
      </c>
      <c r="AC166" s="3">
        <f t="shared" si="114"/>
        <v>0.625</v>
      </c>
      <c r="AD166" s="13">
        <f t="shared" si="116"/>
        <v>1590</v>
      </c>
      <c r="AE166" s="18">
        <f>650</f>
        <v>650</v>
      </c>
    </row>
    <row r="167" spans="1:32">
      <c r="A167" s="5" t="s">
        <v>17</v>
      </c>
      <c r="B167" s="1">
        <v>1</v>
      </c>
      <c r="C167" s="1">
        <v>1</v>
      </c>
      <c r="D167" s="1">
        <v>299</v>
      </c>
      <c r="E167" s="1">
        <v>0.97499999999999998</v>
      </c>
      <c r="F167" s="1">
        <v>11</v>
      </c>
      <c r="G167" s="1">
        <f t="shared" si="109"/>
        <v>1</v>
      </c>
      <c r="H167" s="1">
        <v>0</v>
      </c>
      <c r="I167" s="2" cm="1">
        <f t="array" ref="I167">SPDAM(D167,E167,F167)</f>
        <v>2907.2202911930781</v>
      </c>
      <c r="J167" s="3" cm="1">
        <f t="array" ref="J167">SPDAM(D167,E167,G167)</f>
        <v>299</v>
      </c>
      <c r="K167" s="2">
        <f t="shared" si="110"/>
        <v>0</v>
      </c>
      <c r="L167" s="3">
        <f t="shared" si="111"/>
        <v>0</v>
      </c>
      <c r="M167" s="13">
        <f t="shared" si="115"/>
        <v>3807.2202911930781</v>
      </c>
      <c r="N167" s="11">
        <v>900</v>
      </c>
      <c r="O167">
        <v>2</v>
      </c>
      <c r="R167" s="5" t="s">
        <v>17</v>
      </c>
      <c r="S167" s="1">
        <v>1</v>
      </c>
      <c r="T167" s="1">
        <v>1</v>
      </c>
      <c r="U167" s="1">
        <v>50</v>
      </c>
      <c r="V167" s="1">
        <v>1</v>
      </c>
      <c r="W167" s="1">
        <v>6</v>
      </c>
      <c r="X167" s="1">
        <f t="shared" si="112"/>
        <v>1</v>
      </c>
      <c r="Y167" s="1">
        <f>0.5*4</f>
        <v>2</v>
      </c>
      <c r="Z167" s="2" cm="1">
        <f t="array" ref="Z167">SPDAM(U167,V167,W167)</f>
        <v>300</v>
      </c>
      <c r="AA167" s="3" cm="1">
        <f t="array" ref="AA167">SPDAM(U167,V167,X167)</f>
        <v>50</v>
      </c>
      <c r="AB167" s="2">
        <f t="shared" si="113"/>
        <v>12</v>
      </c>
      <c r="AC167" s="3">
        <f t="shared" si="114"/>
        <v>2</v>
      </c>
      <c r="AD167" s="13">
        <f t="shared" si="116"/>
        <v>900</v>
      </c>
      <c r="AE167" s="11">
        <v>600</v>
      </c>
      <c r="AF167" t="s">
        <v>76</v>
      </c>
    </row>
    <row r="168" spans="1:32">
      <c r="A168" s="5" t="s">
        <v>35</v>
      </c>
      <c r="B168" s="1">
        <v>1</v>
      </c>
      <c r="C168" s="1">
        <v>1</v>
      </c>
      <c r="D168" s="1">
        <v>1</v>
      </c>
      <c r="E168" s="1">
        <v>0.9</v>
      </c>
      <c r="F168" s="1">
        <v>7</v>
      </c>
      <c r="G168" s="1">
        <f t="shared" si="109"/>
        <v>1</v>
      </c>
      <c r="H168" s="1">
        <v>0.5</v>
      </c>
      <c r="I168" s="2" cm="1">
        <f t="array" ref="I168">SPDAM(D168,E168,F168)</f>
        <v>5.2170310000000004</v>
      </c>
      <c r="J168" s="3" cm="1">
        <f t="array" ref="J168">SPDAM(D168,E168,H168)</f>
        <v>0.51316701949486188</v>
      </c>
      <c r="K168" s="2">
        <f t="shared" si="110"/>
        <v>3.5</v>
      </c>
      <c r="L168" s="3">
        <f t="shared" si="111"/>
        <v>0.5</v>
      </c>
      <c r="M168" s="13">
        <f t="shared" si="115"/>
        <v>755.21703100000002</v>
      </c>
      <c r="N168" s="11">
        <v>750</v>
      </c>
      <c r="R168" s="5" t="s">
        <v>18</v>
      </c>
      <c r="S168" s="1">
        <v>1</v>
      </c>
      <c r="T168" s="1">
        <v>1</v>
      </c>
      <c r="U168" s="1">
        <v>0</v>
      </c>
      <c r="V168" s="1">
        <v>1</v>
      </c>
      <c r="W168" s="1">
        <v>1</v>
      </c>
      <c r="X168" s="1">
        <f t="shared" si="112"/>
        <v>1</v>
      </c>
      <c r="Y168" s="1">
        <v>0</v>
      </c>
      <c r="Z168" s="2" cm="1">
        <f t="array" ref="Z168">SPDAM(U168,V168,W168)</f>
        <v>0</v>
      </c>
      <c r="AA168" s="3" cm="1">
        <f t="array" ref="AA168">SPDAM(U168,V168,Y168)</f>
        <v>0</v>
      </c>
      <c r="AB168" s="2">
        <f t="shared" si="113"/>
        <v>0</v>
      </c>
      <c r="AC168" s="3">
        <f t="shared" si="114"/>
        <v>0</v>
      </c>
      <c r="AD168" s="13">
        <f t="shared" si="116"/>
        <v>750</v>
      </c>
      <c r="AE168" s="11">
        <v>750</v>
      </c>
    </row>
    <row r="169" spans="1:32">
      <c r="A169" s="9" t="s">
        <v>28</v>
      </c>
      <c r="B169" s="10">
        <v>9999</v>
      </c>
      <c r="C169" s="10">
        <v>7</v>
      </c>
      <c r="D169" s="10"/>
      <c r="E169" s="10">
        <v>1.1000000000000001</v>
      </c>
      <c r="F169" s="10">
        <v>1.2</v>
      </c>
      <c r="G169" s="10">
        <v>1.05</v>
      </c>
      <c r="H169" s="10"/>
      <c r="I169" s="2"/>
      <c r="J169" s="3"/>
      <c r="K169" s="2"/>
      <c r="L169" s="3"/>
      <c r="M169" s="13"/>
      <c r="N169" s="11"/>
      <c r="R169" s="9" t="s">
        <v>28</v>
      </c>
      <c r="S169" s="10">
        <v>6262</v>
      </c>
      <c r="T169" s="10">
        <v>5</v>
      </c>
      <c r="U169" s="10"/>
      <c r="V169" s="10">
        <v>1.05</v>
      </c>
      <c r="W169" s="10">
        <v>1.1499999999999999</v>
      </c>
      <c r="X169" s="10">
        <v>1</v>
      </c>
      <c r="Y169" s="10"/>
      <c r="Z169" s="2"/>
      <c r="AA169" s="3"/>
      <c r="AB169" s="2"/>
      <c r="AC169" s="3"/>
      <c r="AD169" s="13"/>
      <c r="AE169" s="11"/>
    </row>
    <row r="172" spans="1:32">
      <c r="A172" s="31" t="s">
        <v>77</v>
      </c>
      <c r="B172" s="4" t="s">
        <v>12</v>
      </c>
      <c r="C172" s="4" t="s">
        <v>2</v>
      </c>
      <c r="D172" s="4" t="s">
        <v>1</v>
      </c>
      <c r="E172" s="4" t="s">
        <v>3</v>
      </c>
      <c r="F172" s="4" t="s">
        <v>4</v>
      </c>
      <c r="G172" s="4" t="s">
        <v>8</v>
      </c>
      <c r="H172" s="4" t="s">
        <v>11</v>
      </c>
      <c r="I172" s="4" t="s">
        <v>9</v>
      </c>
      <c r="J172" s="4" t="s">
        <v>10</v>
      </c>
      <c r="K172" s="4" t="s">
        <v>19</v>
      </c>
      <c r="L172" s="4" t="s">
        <v>20</v>
      </c>
      <c r="M172" s="15" t="s">
        <v>9</v>
      </c>
      <c r="N172" s="14" t="s">
        <v>36</v>
      </c>
      <c r="R172" s="32" t="s">
        <v>78</v>
      </c>
      <c r="S172" s="4" t="s">
        <v>12</v>
      </c>
      <c r="T172" s="4" t="s">
        <v>2</v>
      </c>
      <c r="U172" s="4" t="s">
        <v>1</v>
      </c>
      <c r="V172" s="4" t="s">
        <v>3</v>
      </c>
      <c r="W172" s="4" t="s">
        <v>4</v>
      </c>
      <c r="X172" s="4" t="s">
        <v>8</v>
      </c>
      <c r="Y172" s="4" t="s">
        <v>11</v>
      </c>
      <c r="Z172" s="4" t="s">
        <v>9</v>
      </c>
      <c r="AA172" s="4" t="s">
        <v>10</v>
      </c>
      <c r="AB172" s="4" t="s">
        <v>19</v>
      </c>
      <c r="AC172" s="4" t="s">
        <v>20</v>
      </c>
      <c r="AD172" s="15" t="s">
        <v>9</v>
      </c>
      <c r="AE172" s="14" t="s">
        <v>36</v>
      </c>
    </row>
    <row r="173" spans="1:32">
      <c r="A173" s="5" t="s">
        <v>5</v>
      </c>
      <c r="B173" s="1">
        <v>1</v>
      </c>
      <c r="C173" s="1">
        <v>1</v>
      </c>
      <c r="D173" s="1">
        <f>28*4</f>
        <v>112</v>
      </c>
      <c r="E173" s="1">
        <v>0.92</v>
      </c>
      <c r="F173" s="1">
        <v>3.25</v>
      </c>
      <c r="G173" s="1">
        <f t="shared" ref="G173:G181" si="117">MIN(B173/C173,F173)</f>
        <v>1</v>
      </c>
      <c r="H173" s="1">
        <f>0.01*2*4</f>
        <v>0.08</v>
      </c>
      <c r="I173" s="2" cm="1">
        <f t="array" ref="I173">SPDAM(D173,E173,F173)</f>
        <v>332.32647290127034</v>
      </c>
      <c r="J173" s="3" cm="1">
        <f t="array" ref="J173">SPDAM(D173,E173,G173)</f>
        <v>112</v>
      </c>
      <c r="K173" s="2">
        <f t="shared" ref="K173:K181" si="118">F173*H173</f>
        <v>0.26</v>
      </c>
      <c r="L173" s="3">
        <f t="shared" ref="L173:L181" si="119">G173*H173</f>
        <v>0.08</v>
      </c>
      <c r="M173" s="13">
        <f>I173+N173</f>
        <v>332.32647290127034</v>
      </c>
      <c r="N173" s="11">
        <v>0</v>
      </c>
      <c r="R173" s="5" t="s">
        <v>5</v>
      </c>
      <c r="S173" s="1">
        <v>1</v>
      </c>
      <c r="T173" s="1">
        <v>1</v>
      </c>
      <c r="U173" s="1">
        <f>33*3</f>
        <v>99</v>
      </c>
      <c r="V173" s="1">
        <v>0.9</v>
      </c>
      <c r="W173" s="1">
        <v>4</v>
      </c>
      <c r="X173" s="1">
        <f t="shared" ref="X173:X181" si="120">MIN(S173/T173,W173)</f>
        <v>1</v>
      </c>
      <c r="Y173" s="1">
        <v>0</v>
      </c>
      <c r="Z173" s="2" cm="1">
        <f t="array" ref="Z173">SPDAM(U173,V173,W173)</f>
        <v>340.46100000000001</v>
      </c>
      <c r="AA173" s="3" cm="1">
        <f t="array" ref="AA173">SPDAM(U173,V173,X173)</f>
        <v>99</v>
      </c>
      <c r="AB173" s="2">
        <f t="shared" ref="AB173:AB181" si="121">W173*Y173</f>
        <v>0</v>
      </c>
      <c r="AC173" s="3">
        <f t="shared" ref="AC173:AC181" si="122">X173*Y173</f>
        <v>0</v>
      </c>
      <c r="AD173" s="13">
        <f>Z173+AE173</f>
        <v>340.46100000000001</v>
      </c>
      <c r="AE173" s="11">
        <v>0</v>
      </c>
    </row>
    <row r="174" spans="1:32">
      <c r="A174" s="12" t="s">
        <v>6</v>
      </c>
      <c r="B174" s="1">
        <v>1</v>
      </c>
      <c r="C174" s="1">
        <v>1</v>
      </c>
      <c r="D174" s="1">
        <v>155</v>
      </c>
      <c r="E174" s="1">
        <v>0.97499999999999998</v>
      </c>
      <c r="F174" s="1">
        <v>5</v>
      </c>
      <c r="G174" s="1">
        <f t="shared" si="117"/>
        <v>1</v>
      </c>
      <c r="H174" s="1">
        <v>0</v>
      </c>
      <c r="I174" s="2" cm="1">
        <f t="array" ref="I174">SPDAM(D174,E174,F174)</f>
        <v>737.20670117187547</v>
      </c>
      <c r="J174" s="3" cm="1">
        <f t="array" ref="J174">SPDAM(D174,E174,G174)</f>
        <v>155</v>
      </c>
      <c r="K174" s="2">
        <f t="shared" si="118"/>
        <v>0</v>
      </c>
      <c r="L174" s="3">
        <f t="shared" si="119"/>
        <v>0</v>
      </c>
      <c r="M174" s="13">
        <f t="shared" ref="M174:M181" si="123">I174+N174</f>
        <v>737.20670117187547</v>
      </c>
      <c r="N174" s="11">
        <v>0</v>
      </c>
      <c r="R174" s="12" t="s">
        <v>6</v>
      </c>
      <c r="S174" s="1">
        <v>1</v>
      </c>
      <c r="T174" s="1">
        <v>1</v>
      </c>
      <c r="U174" s="1">
        <f>108*3</f>
        <v>324</v>
      </c>
      <c r="V174" s="1">
        <v>0.7</v>
      </c>
      <c r="W174" s="1">
        <v>3</v>
      </c>
      <c r="X174" s="1">
        <f t="shared" si="120"/>
        <v>1</v>
      </c>
      <c r="Y174" s="1">
        <f>0.2*3*2.5</f>
        <v>1.5000000000000002</v>
      </c>
      <c r="Z174" s="2" cm="1">
        <f t="array" ref="Z174">SPDAM(U174,V174,W174)</f>
        <v>709.56</v>
      </c>
      <c r="AA174" s="3" cm="1">
        <f t="array" ref="AA174">SPDAM(U174,V174,X174)</f>
        <v>324</v>
      </c>
      <c r="AB174" s="2">
        <f t="shared" si="121"/>
        <v>4.5000000000000009</v>
      </c>
      <c r="AC174" s="3">
        <f t="shared" si="122"/>
        <v>1.5000000000000002</v>
      </c>
      <c r="AD174" s="13">
        <f t="shared" ref="AD174:AD181" si="124">Z174+AE174</f>
        <v>709.56</v>
      </c>
      <c r="AE174" s="11">
        <v>0</v>
      </c>
    </row>
    <row r="175" spans="1:32">
      <c r="A175" s="5" t="s">
        <v>7</v>
      </c>
      <c r="B175" s="1">
        <v>1</v>
      </c>
      <c r="C175" s="1">
        <v>1</v>
      </c>
      <c r="D175" s="1">
        <f>58*2</f>
        <v>116</v>
      </c>
      <c r="E175" s="1">
        <v>0.9</v>
      </c>
      <c r="F175" s="1">
        <v>3.5</v>
      </c>
      <c r="G175" s="1">
        <f t="shared" si="117"/>
        <v>1</v>
      </c>
      <c r="H175" s="1">
        <v>0</v>
      </c>
      <c r="I175" s="2" cm="1">
        <f t="array" ref="I175">SPDAM(D175,E175,F175)</f>
        <v>357.75545583656356</v>
      </c>
      <c r="J175" s="3" cm="1">
        <f t="array" ref="J175">SPDAM(D175,E175,G175)</f>
        <v>116</v>
      </c>
      <c r="K175" s="2">
        <f t="shared" si="118"/>
        <v>0</v>
      </c>
      <c r="L175" s="3">
        <f t="shared" si="119"/>
        <v>0</v>
      </c>
      <c r="M175" s="13">
        <f t="shared" si="123"/>
        <v>607.75545583656356</v>
      </c>
      <c r="N175" s="11">
        <v>250</v>
      </c>
      <c r="R175" s="5" t="s">
        <v>7</v>
      </c>
      <c r="S175" s="1">
        <f>120*1.5</f>
        <v>180</v>
      </c>
      <c r="T175" s="1">
        <v>30</v>
      </c>
      <c r="U175" s="1">
        <f>15*4</f>
        <v>60</v>
      </c>
      <c r="V175" s="1">
        <v>0.9</v>
      </c>
      <c r="W175" s="1">
        <v>7</v>
      </c>
      <c r="X175" s="1">
        <f t="shared" si="120"/>
        <v>6</v>
      </c>
      <c r="Y175" s="1">
        <f>0.02*4*2.5</f>
        <v>0.2</v>
      </c>
      <c r="Z175" s="2" cm="1">
        <f t="array" ref="Z175">SPDAM(U175,V175,W175)</f>
        <v>313.02186</v>
      </c>
      <c r="AA175" s="3" cm="1">
        <f t="array" ref="AA175">SPDAM(U175,V175,X175)</f>
        <v>281.1354</v>
      </c>
      <c r="AB175" s="2">
        <f t="shared" si="121"/>
        <v>1.4000000000000001</v>
      </c>
      <c r="AC175" s="3">
        <f t="shared" si="122"/>
        <v>1.2000000000000002</v>
      </c>
      <c r="AD175" s="13">
        <f t="shared" si="124"/>
        <v>563.02186000000006</v>
      </c>
      <c r="AE175" s="11">
        <v>250</v>
      </c>
    </row>
    <row r="176" spans="1:32">
      <c r="A176" s="5" t="s">
        <v>13</v>
      </c>
      <c r="B176" s="1">
        <v>1</v>
      </c>
      <c r="C176" s="1">
        <v>1</v>
      </c>
      <c r="D176" s="1">
        <v>112</v>
      </c>
      <c r="E176" s="1">
        <v>0.9</v>
      </c>
      <c r="F176" s="1">
        <v>7</v>
      </c>
      <c r="G176" s="1">
        <f t="shared" si="117"/>
        <v>1</v>
      </c>
      <c r="H176" s="1">
        <f>0.25*2.5</f>
        <v>0.625</v>
      </c>
      <c r="I176" s="2" cm="1">
        <f t="array" ref="I176">SPDAM(D176,E176,F176)</f>
        <v>584.30747200000008</v>
      </c>
      <c r="J176" s="3" cm="1">
        <f t="array" ref="J176">SPDAM(D176,E176,G176)</f>
        <v>112</v>
      </c>
      <c r="K176" s="2">
        <f t="shared" si="118"/>
        <v>4.375</v>
      </c>
      <c r="L176" s="3">
        <f t="shared" si="119"/>
        <v>0.625</v>
      </c>
      <c r="M176" s="13">
        <f t="shared" si="123"/>
        <v>984.30747200000008</v>
      </c>
      <c r="N176" s="11">
        <v>400</v>
      </c>
      <c r="R176" s="5" t="s">
        <v>13</v>
      </c>
      <c r="S176" s="1">
        <v>1</v>
      </c>
      <c r="T176" s="1">
        <v>1</v>
      </c>
      <c r="U176" s="1">
        <v>153</v>
      </c>
      <c r="V176" s="1">
        <v>0.9</v>
      </c>
      <c r="W176" s="1">
        <v>10</v>
      </c>
      <c r="X176" s="1">
        <f t="shared" si="120"/>
        <v>1</v>
      </c>
      <c r="Y176" s="1">
        <f>0.35*2.5</f>
        <v>0.875</v>
      </c>
      <c r="Z176" s="2" cm="1">
        <f t="array" ref="Z176">SPDAM(U176,V176,W176)</f>
        <v>996.52198664699995</v>
      </c>
      <c r="AA176" s="3" cm="1">
        <f t="array" ref="AA176">SPDAM(U176,V176,X176)</f>
        <v>153</v>
      </c>
      <c r="AB176" s="2">
        <f t="shared" si="121"/>
        <v>8.75</v>
      </c>
      <c r="AC176" s="3">
        <f t="shared" si="122"/>
        <v>0.875</v>
      </c>
      <c r="AD176" s="13">
        <f t="shared" si="124"/>
        <v>1396.5219866469999</v>
      </c>
      <c r="AE176" s="11">
        <v>400</v>
      </c>
    </row>
    <row r="177" spans="1:31">
      <c r="A177" s="5" t="s">
        <v>14</v>
      </c>
      <c r="B177" s="1">
        <v>120</v>
      </c>
      <c r="C177" s="1">
        <v>25</v>
      </c>
      <c r="D177" s="1">
        <f>27</f>
        <v>27</v>
      </c>
      <c r="E177" s="1">
        <v>0.95499999999999996</v>
      </c>
      <c r="F177" s="1">
        <v>20</v>
      </c>
      <c r="G177" s="1">
        <f t="shared" si="117"/>
        <v>4.8</v>
      </c>
      <c r="H177" s="1">
        <f>0.075*2</f>
        <v>0.15</v>
      </c>
      <c r="I177" s="2" cm="1">
        <f t="array" ref="I177">SPDAM(D177,E177,F177)</f>
        <v>361.09860700438139</v>
      </c>
      <c r="J177" s="3" cm="1">
        <f t="array" ref="J177">SPDAM(D177,E177,G177)</f>
        <v>118.97523733656345</v>
      </c>
      <c r="K177" s="2">
        <f t="shared" si="118"/>
        <v>3</v>
      </c>
      <c r="L177" s="3">
        <f t="shared" si="119"/>
        <v>0.72</v>
      </c>
      <c r="M177" s="13">
        <f t="shared" si="123"/>
        <v>361.09860700438139</v>
      </c>
      <c r="N177" s="11">
        <v>0</v>
      </c>
      <c r="R177" s="5" t="s">
        <v>14</v>
      </c>
      <c r="S177" s="1">
        <v>1</v>
      </c>
      <c r="T177" s="1">
        <v>1</v>
      </c>
      <c r="U177" s="1">
        <f>27*10</f>
        <v>270</v>
      </c>
      <c r="V177" s="1">
        <v>1</v>
      </c>
      <c r="W177" s="1">
        <v>1.1499999999999999</v>
      </c>
      <c r="X177" s="1">
        <f t="shared" si="120"/>
        <v>1</v>
      </c>
      <c r="Y177" s="1">
        <f>0.1*2*10</f>
        <v>2</v>
      </c>
      <c r="Z177" s="2" cm="1">
        <f t="array" ref="Z177">SPDAM(U177,V177,W177)</f>
        <v>310.5</v>
      </c>
      <c r="AA177" s="3" cm="1">
        <f t="array" ref="AA177">SPDAM(U177,V177,X177)</f>
        <v>270</v>
      </c>
      <c r="AB177" s="2">
        <f t="shared" si="121"/>
        <v>2.2999999999999998</v>
      </c>
      <c r="AC177" s="3">
        <f t="shared" si="122"/>
        <v>2</v>
      </c>
      <c r="AD177" s="13">
        <f t="shared" si="124"/>
        <v>310.5</v>
      </c>
      <c r="AE177" s="11">
        <v>0</v>
      </c>
    </row>
    <row r="178" spans="1:31">
      <c r="A178" s="12" t="s">
        <v>15</v>
      </c>
      <c r="B178" s="1">
        <v>1</v>
      </c>
      <c r="C178" s="1">
        <v>1</v>
      </c>
      <c r="D178" s="1">
        <v>174</v>
      </c>
      <c r="E178" s="1">
        <v>0.94</v>
      </c>
      <c r="F178" s="1">
        <v>7</v>
      </c>
      <c r="G178" s="1">
        <f t="shared" si="117"/>
        <v>1</v>
      </c>
      <c r="H178" s="1">
        <f>0.25*2.5</f>
        <v>0.625</v>
      </c>
      <c r="I178" s="2" cm="1">
        <f t="array" ref="I178">SPDAM(D178,E178,F178)</f>
        <v>1019.4149768413438</v>
      </c>
      <c r="J178" s="3" cm="1">
        <f t="array" ref="J178">SPDAM(D178,E178,G178)</f>
        <v>174</v>
      </c>
      <c r="K178" s="2">
        <f t="shared" si="118"/>
        <v>4.375</v>
      </c>
      <c r="L178" s="3">
        <f t="shared" si="119"/>
        <v>0.625</v>
      </c>
      <c r="M178" s="13">
        <f t="shared" si="123"/>
        <v>1019.4149768413438</v>
      </c>
      <c r="N178" s="11">
        <v>0</v>
      </c>
      <c r="R178" s="12" t="s">
        <v>15</v>
      </c>
      <c r="S178" s="1">
        <v>60</v>
      </c>
      <c r="T178" s="1">
        <v>22</v>
      </c>
      <c r="U178" s="1">
        <v>173</v>
      </c>
      <c r="V178" s="1">
        <f>0.9</f>
        <v>0.9</v>
      </c>
      <c r="W178" s="1">
        <v>14</v>
      </c>
      <c r="X178" s="1">
        <f t="shared" si="120"/>
        <v>2.7272727272727271</v>
      </c>
      <c r="Y178" s="1">
        <f>0.1*3</f>
        <v>0.30000000000000004</v>
      </c>
      <c r="Z178" s="2" cm="1">
        <f t="array" ref="Z178">SPDAM(U178,V178,W178)</f>
        <v>1334.2314905291748</v>
      </c>
      <c r="AA178" s="3" cm="1">
        <f t="array" ref="AA178">SPDAM(U178,V178,X178)</f>
        <v>432.06499008597279</v>
      </c>
      <c r="AB178" s="2">
        <f t="shared" si="121"/>
        <v>4.2000000000000011</v>
      </c>
      <c r="AC178" s="3">
        <f t="shared" si="122"/>
        <v>0.81818181818181823</v>
      </c>
      <c r="AD178" s="13">
        <f t="shared" si="124"/>
        <v>1334.2314905291748</v>
      </c>
      <c r="AE178" s="11">
        <v>0</v>
      </c>
    </row>
    <row r="179" spans="1:31">
      <c r="A179" s="5" t="s">
        <v>16</v>
      </c>
      <c r="B179" s="1">
        <v>1</v>
      </c>
      <c r="C179" s="1">
        <v>1</v>
      </c>
      <c r="D179" s="1">
        <f>47*8</f>
        <v>376</v>
      </c>
      <c r="E179" s="1">
        <v>0.9</v>
      </c>
      <c r="F179" s="1">
        <v>2.5</v>
      </c>
      <c r="G179" s="1">
        <f t="shared" si="117"/>
        <v>1</v>
      </c>
      <c r="H179" s="1">
        <f>0.05*2.5*8</f>
        <v>1</v>
      </c>
      <c r="I179" s="2" cm="1">
        <f t="array" ref="I179">SPDAM(D179,E179,F179)</f>
        <v>870.69014745735512</v>
      </c>
      <c r="J179" s="3" cm="1">
        <f t="array" ref="J179">SPDAM(D179,E179,G179)</f>
        <v>376</v>
      </c>
      <c r="K179" s="2">
        <f t="shared" si="118"/>
        <v>2.5</v>
      </c>
      <c r="L179" s="3">
        <f t="shared" si="119"/>
        <v>1</v>
      </c>
      <c r="M179" s="13">
        <f t="shared" si="123"/>
        <v>1470.6901474573551</v>
      </c>
      <c r="N179" s="18">
        <v>600</v>
      </c>
      <c r="R179" s="5" t="s">
        <v>16</v>
      </c>
      <c r="S179" s="1">
        <v>1</v>
      </c>
      <c r="T179" s="1">
        <v>1</v>
      </c>
      <c r="U179" s="1">
        <v>22</v>
      </c>
      <c r="V179" s="1">
        <v>1</v>
      </c>
      <c r="W179" s="1">
        <v>10</v>
      </c>
      <c r="X179" s="1">
        <f t="shared" si="120"/>
        <v>1</v>
      </c>
      <c r="Y179" s="1">
        <f>0.3*4</f>
        <v>1.2</v>
      </c>
      <c r="Z179" s="2" cm="1">
        <f t="array" ref="Z179">SPDAM(U179,V179,W179)</f>
        <v>220</v>
      </c>
      <c r="AA179" s="3" cm="1">
        <f t="array" ref="AA179">SPDAM(U179,V179,X179)</f>
        <v>22</v>
      </c>
      <c r="AB179" s="2">
        <f t="shared" si="121"/>
        <v>12</v>
      </c>
      <c r="AC179" s="3">
        <f t="shared" si="122"/>
        <v>1.2</v>
      </c>
      <c r="AD179" s="13">
        <f t="shared" si="124"/>
        <v>1220</v>
      </c>
      <c r="AE179" s="11">
        <f>500+500</f>
        <v>1000</v>
      </c>
    </row>
    <row r="180" spans="1:31">
      <c r="A180" s="5" t="s">
        <v>17</v>
      </c>
      <c r="B180" s="1">
        <v>1</v>
      </c>
      <c r="C180" s="1">
        <v>1</v>
      </c>
      <c r="D180" s="1">
        <f>256</f>
        <v>256</v>
      </c>
      <c r="E180" s="1">
        <v>0.99</v>
      </c>
      <c r="F180" s="1">
        <v>8</v>
      </c>
      <c r="G180" s="1">
        <f t="shared" si="117"/>
        <v>1</v>
      </c>
      <c r="H180" s="1">
        <v>0</v>
      </c>
      <c r="I180" s="2" cm="1">
        <f t="array" ref="I180">SPDAM(D180,E180,F180)</f>
        <v>1977.7358226452452</v>
      </c>
      <c r="J180" s="3" cm="1">
        <f t="array" ref="J180">SPDAM(D180,E180,G180)</f>
        <v>256</v>
      </c>
      <c r="K180" s="2">
        <f t="shared" si="118"/>
        <v>0</v>
      </c>
      <c r="L180" s="3">
        <f t="shared" si="119"/>
        <v>0</v>
      </c>
      <c r="M180" s="13">
        <f t="shared" si="123"/>
        <v>2577.7358226452452</v>
      </c>
      <c r="N180" s="11">
        <v>600</v>
      </c>
      <c r="R180" s="5" t="s">
        <v>17</v>
      </c>
      <c r="S180" s="1">
        <v>1</v>
      </c>
      <c r="T180" s="1">
        <v>1</v>
      </c>
      <c r="U180" s="1">
        <v>222</v>
      </c>
      <c r="V180" s="1">
        <v>0.9</v>
      </c>
      <c r="W180" s="1">
        <v>10</v>
      </c>
      <c r="X180" s="1">
        <f t="shared" si="120"/>
        <v>1</v>
      </c>
      <c r="Y180" s="1">
        <f>0.3*3</f>
        <v>0.89999999999999991</v>
      </c>
      <c r="Z180" s="2" cm="1">
        <f t="array" ref="Z180">SPDAM(U180,V180,W180)</f>
        <v>1445.933862978</v>
      </c>
      <c r="AA180" s="3" cm="1">
        <f t="array" ref="AA180">SPDAM(U180,V180,X180)</f>
        <v>222</v>
      </c>
      <c r="AB180" s="2">
        <f t="shared" si="121"/>
        <v>9</v>
      </c>
      <c r="AC180" s="3">
        <f t="shared" si="122"/>
        <v>0.89999999999999991</v>
      </c>
      <c r="AD180" s="13">
        <f t="shared" si="124"/>
        <v>2095.933862978</v>
      </c>
      <c r="AE180" s="11">
        <v>650</v>
      </c>
    </row>
    <row r="181" spans="1:31">
      <c r="A181" s="5" t="s">
        <v>18</v>
      </c>
      <c r="B181" s="1">
        <v>1</v>
      </c>
      <c r="C181" s="1">
        <v>1</v>
      </c>
      <c r="D181" s="1">
        <v>0</v>
      </c>
      <c r="E181" s="1">
        <v>1</v>
      </c>
      <c r="F181" s="1">
        <v>1</v>
      </c>
      <c r="G181" s="1">
        <f t="shared" si="117"/>
        <v>1</v>
      </c>
      <c r="H181" s="1">
        <v>0</v>
      </c>
      <c r="I181" s="2" cm="1">
        <f t="array" ref="I181">SPDAM(D181,E181,F181)</f>
        <v>0</v>
      </c>
      <c r="J181" s="3" cm="1">
        <f t="array" ref="J181">SPDAM(D181,E181,H181)</f>
        <v>0</v>
      </c>
      <c r="K181" s="2">
        <f t="shared" si="118"/>
        <v>0</v>
      </c>
      <c r="L181" s="3">
        <f t="shared" si="119"/>
        <v>0</v>
      </c>
      <c r="M181" s="13">
        <f t="shared" si="123"/>
        <v>750</v>
      </c>
      <c r="N181" s="11">
        <v>750</v>
      </c>
      <c r="R181" s="5" t="s">
        <v>18</v>
      </c>
      <c r="S181" s="1">
        <v>1</v>
      </c>
      <c r="T181" s="1">
        <v>1</v>
      </c>
      <c r="U181" s="1">
        <v>0</v>
      </c>
      <c r="V181" s="1">
        <v>1</v>
      </c>
      <c r="W181" s="1">
        <v>1</v>
      </c>
      <c r="X181" s="1">
        <f t="shared" si="120"/>
        <v>1</v>
      </c>
      <c r="Y181" s="1">
        <v>0</v>
      </c>
      <c r="Z181" s="2" cm="1">
        <f t="array" ref="Z181">SPDAM(U181,V181,W181)</f>
        <v>0</v>
      </c>
      <c r="AA181" s="3" cm="1">
        <f t="array" ref="AA181">SPDAM(U181,V181,Y181)</f>
        <v>0</v>
      </c>
      <c r="AB181" s="2">
        <f t="shared" si="121"/>
        <v>0</v>
      </c>
      <c r="AC181" s="3">
        <f t="shared" si="122"/>
        <v>0</v>
      </c>
      <c r="AD181" s="13">
        <f t="shared" si="124"/>
        <v>550</v>
      </c>
      <c r="AE181" s="11">
        <v>550</v>
      </c>
    </row>
    <row r="182" spans="1:31">
      <c r="A182" s="9" t="s">
        <v>28</v>
      </c>
      <c r="B182" s="10">
        <v>6700</v>
      </c>
      <c r="C182" s="10">
        <v>5</v>
      </c>
      <c r="D182" s="10"/>
      <c r="E182" s="10">
        <v>1</v>
      </c>
      <c r="F182" s="10">
        <v>1.2</v>
      </c>
      <c r="G182" s="10">
        <v>1</v>
      </c>
      <c r="H182" s="10"/>
      <c r="I182" s="2"/>
      <c r="J182" s="3"/>
      <c r="K182" s="2"/>
      <c r="L182" s="3"/>
      <c r="M182" s="13"/>
      <c r="N182" s="11"/>
      <c r="R182" s="9" t="s">
        <v>28</v>
      </c>
      <c r="S182" s="10">
        <v>6666</v>
      </c>
      <c r="T182" s="10">
        <v>5</v>
      </c>
      <c r="U182" s="10"/>
      <c r="V182" s="10">
        <v>1</v>
      </c>
      <c r="W182" s="10">
        <v>1</v>
      </c>
      <c r="X182" s="10">
        <v>1.2</v>
      </c>
      <c r="Y182" s="10"/>
      <c r="Z182" s="2"/>
      <c r="AA182" s="3"/>
      <c r="AB182" s="2"/>
      <c r="AC182" s="3"/>
      <c r="AD182" s="13"/>
      <c r="AE182" s="11"/>
    </row>
    <row r="185" spans="1:31">
      <c r="A185" s="33" t="s">
        <v>79</v>
      </c>
      <c r="B185" s="4" t="s">
        <v>12</v>
      </c>
      <c r="C185" s="4" t="s">
        <v>2</v>
      </c>
      <c r="D185" s="4" t="s">
        <v>1</v>
      </c>
      <c r="E185" s="4" t="s">
        <v>3</v>
      </c>
      <c r="F185" s="4" t="s">
        <v>4</v>
      </c>
      <c r="G185" s="4" t="s">
        <v>8</v>
      </c>
      <c r="H185" s="4" t="s">
        <v>11</v>
      </c>
      <c r="I185" s="4" t="s">
        <v>9</v>
      </c>
      <c r="J185" s="4" t="s">
        <v>10</v>
      </c>
      <c r="K185" s="4" t="s">
        <v>19</v>
      </c>
      <c r="L185" s="4" t="s">
        <v>20</v>
      </c>
      <c r="M185" s="15" t="s">
        <v>9</v>
      </c>
      <c r="N185" s="14" t="s">
        <v>36</v>
      </c>
      <c r="O185" s="34" t="s">
        <v>80</v>
      </c>
      <c r="P185" s="4" t="s">
        <v>12</v>
      </c>
      <c r="Q185" s="4" t="s">
        <v>2</v>
      </c>
      <c r="R185" s="4" t="s">
        <v>1</v>
      </c>
      <c r="S185" s="4" t="s">
        <v>3</v>
      </c>
      <c r="T185" s="4" t="s">
        <v>4</v>
      </c>
      <c r="U185" s="4" t="s">
        <v>8</v>
      </c>
      <c r="V185" s="4" t="s">
        <v>11</v>
      </c>
      <c r="W185" s="4" t="s">
        <v>9</v>
      </c>
      <c r="X185" s="4" t="s">
        <v>10</v>
      </c>
      <c r="Y185" s="4" t="s">
        <v>19</v>
      </c>
      <c r="Z185" s="4" t="s">
        <v>20</v>
      </c>
      <c r="AA185" s="15" t="s">
        <v>9</v>
      </c>
      <c r="AB185" s="14" t="s">
        <v>36</v>
      </c>
    </row>
    <row r="186" spans="1:31">
      <c r="A186" s="5" t="s">
        <v>5</v>
      </c>
      <c r="B186" s="1">
        <v>1</v>
      </c>
      <c r="C186" s="1">
        <v>1</v>
      </c>
      <c r="D186" s="1">
        <f>31*4</f>
        <v>124</v>
      </c>
      <c r="E186" s="1">
        <v>0.88</v>
      </c>
      <c r="F186" s="1">
        <v>3</v>
      </c>
      <c r="G186" s="1">
        <f t="shared" ref="G186:G194" si="125">MIN(B186/C186,F186)</f>
        <v>1</v>
      </c>
      <c r="H186" s="1">
        <f>0.03*4</f>
        <v>0.12</v>
      </c>
      <c r="I186" s="2" cm="1">
        <f t="array" ref="I186">SPDAM(D186,E186,F186)</f>
        <v>329.14560000000006</v>
      </c>
      <c r="J186" s="3" cm="1">
        <f t="array" ref="J186">SPDAM(D186,E186,G186)</f>
        <v>124</v>
      </c>
      <c r="K186" s="2">
        <f t="shared" ref="K186:K194" si="126">F186*H186</f>
        <v>0.36</v>
      </c>
      <c r="L186" s="3">
        <f t="shared" ref="L186:L194" si="127">G186*H186</f>
        <v>0.12</v>
      </c>
      <c r="M186" s="13">
        <f>I186+N186</f>
        <v>329.14560000000006</v>
      </c>
      <c r="N186" s="11">
        <v>0</v>
      </c>
      <c r="O186" s="5" t="s">
        <v>5</v>
      </c>
      <c r="P186" s="1">
        <v>1</v>
      </c>
      <c r="Q186" s="1">
        <v>1</v>
      </c>
      <c r="R186" s="1">
        <v>111</v>
      </c>
      <c r="S186" s="1">
        <v>0.9</v>
      </c>
      <c r="T186" s="1">
        <v>4</v>
      </c>
      <c r="U186" s="1">
        <f t="shared" ref="U186:U194" si="128">MIN(P186/Q186,T186)</f>
        <v>1</v>
      </c>
      <c r="V186" s="1">
        <v>0.1</v>
      </c>
      <c r="W186" s="2" cm="1">
        <f t="array" ref="W186">SPDAM(R186,S186,T186)</f>
        <v>381.72900000000004</v>
      </c>
      <c r="X186" s="3" cm="1">
        <f t="array" ref="X186">SPDAM(R186,S186,U186)</f>
        <v>111</v>
      </c>
      <c r="Y186" s="2">
        <f t="shared" ref="Y186:Y194" si="129">T186*V186</f>
        <v>0.4</v>
      </c>
      <c r="Z186" s="3">
        <f t="shared" ref="Z186:Z194" si="130">U186*V186</f>
        <v>0.1</v>
      </c>
      <c r="AA186" s="13">
        <f>W186+AB186</f>
        <v>381.72900000000004</v>
      </c>
      <c r="AB186" s="11">
        <v>0</v>
      </c>
    </row>
    <row r="187" spans="1:31">
      <c r="A187" s="12" t="s">
        <v>6</v>
      </c>
      <c r="B187" s="1">
        <v>1</v>
      </c>
      <c r="C187" s="1">
        <v>1</v>
      </c>
      <c r="D187" s="1">
        <v>162</v>
      </c>
      <c r="E187" s="1">
        <v>0.9</v>
      </c>
      <c r="F187" s="1">
        <v>7</v>
      </c>
      <c r="G187" s="1">
        <f t="shared" si="125"/>
        <v>1</v>
      </c>
      <c r="H187" s="1">
        <f>0.2*3.5</f>
        <v>0.70000000000000007</v>
      </c>
      <c r="I187" s="2" cm="1">
        <f t="array" ref="I187">SPDAM(D187,E187,F187)</f>
        <v>845.15902200000016</v>
      </c>
      <c r="J187" s="3" cm="1">
        <f t="array" ref="J187">SPDAM(D187,E187,G187)</f>
        <v>162</v>
      </c>
      <c r="K187" s="2">
        <f t="shared" si="126"/>
        <v>4.9000000000000004</v>
      </c>
      <c r="L187" s="3">
        <f t="shared" si="127"/>
        <v>0.70000000000000007</v>
      </c>
      <c r="M187" s="13">
        <f t="shared" ref="M187:M194" si="131">I187+N187</f>
        <v>845.15902200000016</v>
      </c>
      <c r="N187" s="11">
        <v>0</v>
      </c>
      <c r="O187" s="12" t="s">
        <v>6</v>
      </c>
      <c r="P187" s="1">
        <v>1</v>
      </c>
      <c r="Q187" s="1">
        <v>1</v>
      </c>
      <c r="R187" s="1">
        <v>185</v>
      </c>
      <c r="S187" s="1">
        <v>0.9</v>
      </c>
      <c r="T187" s="1">
        <v>6</v>
      </c>
      <c r="U187" s="1">
        <f t="shared" si="128"/>
        <v>1</v>
      </c>
      <c r="V187" s="1">
        <f>0.2*3</f>
        <v>0.60000000000000009</v>
      </c>
      <c r="W187" s="2" cm="1">
        <f t="array" ref="W187">SPDAM(R187,S187,T187)</f>
        <v>866.83415000000014</v>
      </c>
      <c r="X187" s="3" cm="1">
        <f t="array" ref="X187">SPDAM(R187,S187,U187)</f>
        <v>185</v>
      </c>
      <c r="Y187" s="2">
        <f t="shared" si="129"/>
        <v>3.6000000000000005</v>
      </c>
      <c r="Z187" s="3">
        <f t="shared" si="130"/>
        <v>0.60000000000000009</v>
      </c>
      <c r="AA187" s="13">
        <f t="shared" ref="AA187:AA194" si="132">W187+AB187</f>
        <v>866.83415000000014</v>
      </c>
      <c r="AB187" s="11">
        <v>0</v>
      </c>
    </row>
    <row r="188" spans="1:31">
      <c r="A188" s="5" t="s">
        <v>7</v>
      </c>
      <c r="B188" s="1">
        <v>1</v>
      </c>
      <c r="C188" s="1">
        <v>1</v>
      </c>
      <c r="D188" s="1">
        <f>63*2</f>
        <v>126</v>
      </c>
      <c r="E188" s="1">
        <v>0.8</v>
      </c>
      <c r="F188" s="1">
        <v>3</v>
      </c>
      <c r="G188" s="1">
        <f t="shared" si="125"/>
        <v>1</v>
      </c>
      <c r="H188" s="1">
        <f>0.05*2</f>
        <v>0.1</v>
      </c>
      <c r="I188" s="2" cm="1">
        <f t="array" ref="I188">SPDAM(D188,E188,F188)</f>
        <v>307.44</v>
      </c>
      <c r="J188" s="3" cm="1">
        <f t="array" ref="J188">SPDAM(D188,E188,G188)</f>
        <v>126</v>
      </c>
      <c r="K188" s="2">
        <f t="shared" si="126"/>
        <v>0.30000000000000004</v>
      </c>
      <c r="L188" s="3">
        <f t="shared" si="127"/>
        <v>0.1</v>
      </c>
      <c r="M188" s="13">
        <f t="shared" si="131"/>
        <v>557.44000000000005</v>
      </c>
      <c r="N188" s="11">
        <v>250</v>
      </c>
      <c r="O188" s="5" t="s">
        <v>7</v>
      </c>
      <c r="P188" s="1">
        <v>1</v>
      </c>
      <c r="Q188" s="1">
        <v>1</v>
      </c>
      <c r="R188" s="1">
        <v>20</v>
      </c>
      <c r="S188" s="1">
        <v>1</v>
      </c>
      <c r="T188" s="1">
        <v>10</v>
      </c>
      <c r="U188" s="1">
        <f t="shared" si="128"/>
        <v>1</v>
      </c>
      <c r="V188" s="1">
        <v>0.3</v>
      </c>
      <c r="W188" s="2" cm="1">
        <f t="array" ref="W188">SPDAM(R188,S188,T188)</f>
        <v>200</v>
      </c>
      <c r="X188" s="3" cm="1">
        <f t="array" ref="X188">SPDAM(R188,S188,U188)</f>
        <v>20</v>
      </c>
      <c r="Y188" s="2">
        <f t="shared" si="129"/>
        <v>3</v>
      </c>
      <c r="Z188" s="3">
        <f t="shared" si="130"/>
        <v>0.3</v>
      </c>
      <c r="AA188" s="13">
        <f t="shared" si="132"/>
        <v>450</v>
      </c>
      <c r="AB188" s="11">
        <v>250</v>
      </c>
    </row>
    <row r="189" spans="1:31">
      <c r="A189" s="5" t="s">
        <v>13</v>
      </c>
      <c r="B189" s="1">
        <v>1</v>
      </c>
      <c r="C189" s="1">
        <v>1</v>
      </c>
      <c r="D189" s="1">
        <v>40</v>
      </c>
      <c r="E189" s="1">
        <v>0.99</v>
      </c>
      <c r="F189" s="1">
        <v>20</v>
      </c>
      <c r="G189" s="1">
        <f t="shared" si="125"/>
        <v>1</v>
      </c>
      <c r="H189" s="1">
        <v>0.4</v>
      </c>
      <c r="I189" s="2" cm="1">
        <f t="array" ref="I189">SPDAM(D189,E189,F189)</f>
        <v>728.37224961107631</v>
      </c>
      <c r="J189" s="3" cm="1">
        <f t="array" ref="J189">SPDAM(D189,E189,G189)</f>
        <v>40</v>
      </c>
      <c r="K189" s="2">
        <f t="shared" si="126"/>
        <v>8</v>
      </c>
      <c r="L189" s="3">
        <f t="shared" si="127"/>
        <v>0.4</v>
      </c>
      <c r="M189" s="13">
        <f t="shared" si="131"/>
        <v>1128.3722496110763</v>
      </c>
      <c r="N189" s="11">
        <v>400</v>
      </c>
      <c r="O189" s="5" t="s">
        <v>13</v>
      </c>
      <c r="P189" s="1">
        <v>1</v>
      </c>
      <c r="Q189" s="1">
        <v>1</v>
      </c>
      <c r="R189" s="1">
        <v>1</v>
      </c>
      <c r="S189" s="1">
        <v>1</v>
      </c>
      <c r="T189" s="1">
        <v>1</v>
      </c>
      <c r="U189" s="1">
        <f t="shared" si="128"/>
        <v>1</v>
      </c>
      <c r="V189" s="1">
        <v>1</v>
      </c>
      <c r="W189" s="2" cm="1">
        <f t="array" ref="W189">SPDAM(R189,S189,T189)</f>
        <v>1</v>
      </c>
      <c r="X189" s="3" cm="1">
        <f t="array" ref="X189">SPDAM(R189,S189,U189)</f>
        <v>1</v>
      </c>
      <c r="Y189" s="2">
        <f t="shared" si="129"/>
        <v>1</v>
      </c>
      <c r="Z189" s="3">
        <f t="shared" si="130"/>
        <v>1</v>
      </c>
      <c r="AA189" s="13">
        <f t="shared" si="132"/>
        <v>2</v>
      </c>
      <c r="AB189" s="11">
        <v>1</v>
      </c>
    </row>
    <row r="190" spans="1:31">
      <c r="A190" s="5" t="s">
        <v>14</v>
      </c>
      <c r="B190" s="1">
        <v>1</v>
      </c>
      <c r="C190" s="1">
        <v>1</v>
      </c>
      <c r="D190" s="1">
        <f>35*6</f>
        <v>210</v>
      </c>
      <c r="E190" s="1">
        <v>1</v>
      </c>
      <c r="F190" s="1">
        <v>1.5</v>
      </c>
      <c r="G190" s="1">
        <f t="shared" si="125"/>
        <v>1</v>
      </c>
      <c r="H190" s="1">
        <f>0.075*6</f>
        <v>0.44999999999999996</v>
      </c>
      <c r="I190" s="2" cm="1">
        <f t="array" ref="I190">SPDAM(D190,E190,F190)</f>
        <v>315</v>
      </c>
      <c r="J190" s="3" cm="1">
        <f t="array" ref="J190">SPDAM(D190,E190,G190)</f>
        <v>210</v>
      </c>
      <c r="K190" s="2">
        <f t="shared" si="126"/>
        <v>0.67499999999999993</v>
      </c>
      <c r="L190" s="3">
        <f t="shared" si="127"/>
        <v>0.44999999999999996</v>
      </c>
      <c r="M190" s="13">
        <f t="shared" si="131"/>
        <v>315</v>
      </c>
      <c r="N190" s="11">
        <v>0</v>
      </c>
      <c r="O190" s="5" t="s">
        <v>14</v>
      </c>
      <c r="P190" s="1">
        <v>1</v>
      </c>
      <c r="Q190" s="1">
        <v>1</v>
      </c>
      <c r="R190" s="1">
        <f>22*12</f>
        <v>264</v>
      </c>
      <c r="S190" s="1">
        <v>1</v>
      </c>
      <c r="T190" s="1">
        <v>1.2</v>
      </c>
      <c r="U190" s="1">
        <f t="shared" si="128"/>
        <v>1</v>
      </c>
      <c r="V190" s="1">
        <f>0.075*12</f>
        <v>0.89999999999999991</v>
      </c>
      <c r="W190" s="2" cm="1">
        <f t="array" ref="W190">SPDAM(R190,S190,T190)</f>
        <v>316.8</v>
      </c>
      <c r="X190" s="3" cm="1">
        <f t="array" ref="X190">SPDAM(R190,S190,U190)</f>
        <v>264</v>
      </c>
      <c r="Y190" s="2">
        <f t="shared" si="129"/>
        <v>1.0799999999999998</v>
      </c>
      <c r="Z190" s="3">
        <f t="shared" si="130"/>
        <v>0.89999999999999991</v>
      </c>
      <c r="AA190" s="13">
        <f t="shared" si="132"/>
        <v>316.8</v>
      </c>
      <c r="AB190" s="11">
        <v>0</v>
      </c>
    </row>
    <row r="191" spans="1:31">
      <c r="A191" s="12" t="s">
        <v>15</v>
      </c>
      <c r="B191" s="1">
        <v>1</v>
      </c>
      <c r="C191" s="1">
        <v>1</v>
      </c>
      <c r="D191" s="1">
        <v>233</v>
      </c>
      <c r="E191" s="1">
        <v>0.95</v>
      </c>
      <c r="F191" s="1">
        <v>7.5</v>
      </c>
      <c r="G191" s="1">
        <f t="shared" si="125"/>
        <v>1</v>
      </c>
      <c r="H191" s="1">
        <v>0.25</v>
      </c>
      <c r="I191" s="2" cm="1">
        <f t="array" ref="I191">SPDAM(D191,E191,F191)</f>
        <v>1488.1476961155422</v>
      </c>
      <c r="J191" s="3" cm="1">
        <f t="array" ref="J191">SPDAM(D191,E191,G191)</f>
        <v>233</v>
      </c>
      <c r="K191" s="2">
        <f t="shared" si="126"/>
        <v>1.875</v>
      </c>
      <c r="L191" s="3">
        <f t="shared" si="127"/>
        <v>0.25</v>
      </c>
      <c r="M191" s="13">
        <f t="shared" si="131"/>
        <v>1488.1476961155422</v>
      </c>
      <c r="N191" s="11">
        <v>0</v>
      </c>
      <c r="O191" s="12" t="s">
        <v>15</v>
      </c>
      <c r="P191" s="1">
        <v>1</v>
      </c>
      <c r="Q191" s="1">
        <v>1</v>
      </c>
      <c r="R191" s="1">
        <v>1</v>
      </c>
      <c r="S191" s="1">
        <v>1</v>
      </c>
      <c r="T191" s="1">
        <v>1</v>
      </c>
      <c r="U191" s="1">
        <f t="shared" si="128"/>
        <v>1</v>
      </c>
      <c r="V191" s="1">
        <v>1</v>
      </c>
      <c r="W191" s="2" cm="1">
        <f t="array" ref="W191">SPDAM(R191,S191,T191)</f>
        <v>1</v>
      </c>
      <c r="X191" s="3" cm="1">
        <f t="array" ref="X191">SPDAM(R191,S191,U191)</f>
        <v>1</v>
      </c>
      <c r="Y191" s="2">
        <f t="shared" si="129"/>
        <v>1</v>
      </c>
      <c r="Z191" s="3">
        <f t="shared" si="130"/>
        <v>1</v>
      </c>
      <c r="AA191" s="13">
        <f t="shared" si="132"/>
        <v>2</v>
      </c>
      <c r="AB191" s="11">
        <v>1</v>
      </c>
    </row>
    <row r="192" spans="1:31">
      <c r="A192" s="5" t="s">
        <v>16</v>
      </c>
      <c r="B192" s="1">
        <v>1</v>
      </c>
      <c r="C192" s="1">
        <v>1</v>
      </c>
      <c r="D192" s="1">
        <v>1</v>
      </c>
      <c r="E192" s="1">
        <v>1</v>
      </c>
      <c r="F192" s="1">
        <v>1</v>
      </c>
      <c r="G192" s="1">
        <f t="shared" si="125"/>
        <v>1</v>
      </c>
      <c r="H192" s="1">
        <v>1</v>
      </c>
      <c r="I192" s="2" cm="1">
        <f t="array" ref="I192">SPDAM(D192,E192,F192)</f>
        <v>1</v>
      </c>
      <c r="J192" s="3" cm="1">
        <f t="array" ref="J192">SPDAM(D192,E192,G192)</f>
        <v>1</v>
      </c>
      <c r="K192" s="2">
        <f t="shared" si="126"/>
        <v>1</v>
      </c>
      <c r="L192" s="3">
        <f t="shared" si="127"/>
        <v>1</v>
      </c>
      <c r="M192" s="13">
        <f t="shared" si="131"/>
        <v>2</v>
      </c>
      <c r="N192" s="18">
        <v>1</v>
      </c>
      <c r="O192" s="5" t="s">
        <v>16</v>
      </c>
      <c r="P192" s="1">
        <v>1</v>
      </c>
      <c r="Q192" s="1">
        <v>1</v>
      </c>
      <c r="R192" s="1">
        <v>169</v>
      </c>
      <c r="S192" s="1">
        <v>0.95</v>
      </c>
      <c r="T192" s="1">
        <v>10</v>
      </c>
      <c r="U192" s="1">
        <f t="shared" si="128"/>
        <v>1</v>
      </c>
      <c r="V192" s="1">
        <v>0.35</v>
      </c>
      <c r="W192" s="2" cm="1">
        <f t="array" ref="W192">SPDAM(R192,S192,T192)</f>
        <v>1356.2691453742789</v>
      </c>
      <c r="X192" s="3" cm="1">
        <f t="array" ref="X192">SPDAM(R192,S192,U192)</f>
        <v>169</v>
      </c>
      <c r="Y192" s="2">
        <f t="shared" si="129"/>
        <v>3.5</v>
      </c>
      <c r="Z192" s="3">
        <f t="shared" si="130"/>
        <v>0.35</v>
      </c>
      <c r="AA192" s="13">
        <f t="shared" si="132"/>
        <v>1856.2691453742789</v>
      </c>
      <c r="AB192" s="18">
        <v>500</v>
      </c>
    </row>
    <row r="193" spans="1:31">
      <c r="A193" s="5" t="s">
        <v>17</v>
      </c>
      <c r="B193" s="1">
        <v>1</v>
      </c>
      <c r="C193" s="1">
        <v>1</v>
      </c>
      <c r="D193" s="1">
        <v>1</v>
      </c>
      <c r="E193" s="1">
        <v>1</v>
      </c>
      <c r="F193" s="1">
        <v>1</v>
      </c>
      <c r="G193" s="1">
        <f t="shared" si="125"/>
        <v>1</v>
      </c>
      <c r="H193" s="1">
        <v>1</v>
      </c>
      <c r="I193" s="2" cm="1">
        <f t="array" ref="I193">SPDAM(D193,E193,F193)</f>
        <v>1</v>
      </c>
      <c r="J193" s="3" cm="1">
        <f t="array" ref="J193">SPDAM(D193,E193,G193)</f>
        <v>1</v>
      </c>
      <c r="K193" s="2">
        <f t="shared" si="126"/>
        <v>1</v>
      </c>
      <c r="L193" s="3">
        <f t="shared" si="127"/>
        <v>1</v>
      </c>
      <c r="M193" s="13">
        <f t="shared" si="131"/>
        <v>2</v>
      </c>
      <c r="N193" s="11">
        <v>1</v>
      </c>
      <c r="O193" s="5" t="s">
        <v>17</v>
      </c>
      <c r="P193" s="1">
        <v>1</v>
      </c>
      <c r="Q193" s="1">
        <v>1</v>
      </c>
      <c r="R193" s="1">
        <v>288</v>
      </c>
      <c r="S193" s="1">
        <v>0.95</v>
      </c>
      <c r="T193" s="1">
        <v>11</v>
      </c>
      <c r="U193" s="1">
        <f t="shared" si="128"/>
        <v>1</v>
      </c>
      <c r="V193" s="1">
        <v>0.6</v>
      </c>
      <c r="W193" s="2" cm="1">
        <f t="array" ref="W193">SPDAM(R193,S193,T193)</f>
        <v>2483.7114684875901</v>
      </c>
      <c r="X193" s="3" cm="1">
        <f t="array" ref="X193">SPDAM(R193,S193,U193)</f>
        <v>288</v>
      </c>
      <c r="Y193" s="2">
        <f t="shared" si="129"/>
        <v>6.6</v>
      </c>
      <c r="Z193" s="3">
        <f t="shared" si="130"/>
        <v>0.6</v>
      </c>
      <c r="AA193" s="13">
        <f t="shared" si="132"/>
        <v>3383.7114684875901</v>
      </c>
      <c r="AB193" s="11">
        <v>900</v>
      </c>
    </row>
    <row r="194" spans="1:31">
      <c r="A194" s="5" t="s">
        <v>18</v>
      </c>
      <c r="B194" s="1">
        <v>1</v>
      </c>
      <c r="C194" s="1">
        <v>1</v>
      </c>
      <c r="D194" s="1">
        <v>0</v>
      </c>
      <c r="E194" s="1">
        <v>1</v>
      </c>
      <c r="F194" s="1">
        <v>1</v>
      </c>
      <c r="G194" s="1">
        <f t="shared" si="125"/>
        <v>1</v>
      </c>
      <c r="H194" s="1">
        <v>0</v>
      </c>
      <c r="I194" s="2" cm="1">
        <f t="array" ref="I194">SPDAM(D194,E194,F194)</f>
        <v>0</v>
      </c>
      <c r="J194" s="3" cm="1">
        <f t="array" ref="J194">SPDAM(D194,E194,H194)</f>
        <v>0</v>
      </c>
      <c r="K194" s="2">
        <f t="shared" si="126"/>
        <v>0</v>
      </c>
      <c r="L194" s="3">
        <f t="shared" si="127"/>
        <v>0</v>
      </c>
      <c r="M194" s="13">
        <f t="shared" si="131"/>
        <v>750</v>
      </c>
      <c r="N194" s="11">
        <v>750</v>
      </c>
      <c r="O194" s="5" t="s">
        <v>18</v>
      </c>
      <c r="P194" s="1">
        <v>1</v>
      </c>
      <c r="Q194" s="1">
        <v>1</v>
      </c>
      <c r="R194" s="1">
        <v>0</v>
      </c>
      <c r="S194" s="1">
        <v>1</v>
      </c>
      <c r="T194" s="1">
        <v>1</v>
      </c>
      <c r="U194" s="1">
        <f t="shared" si="128"/>
        <v>1</v>
      </c>
      <c r="V194" s="1">
        <v>0</v>
      </c>
      <c r="W194" s="2" cm="1">
        <f t="array" ref="W194">SPDAM(R194,S194,T194)</f>
        <v>0</v>
      </c>
      <c r="X194" s="3" cm="1">
        <f t="array" ref="X194">SPDAM(R194,S194,V194)</f>
        <v>0</v>
      </c>
      <c r="Y194" s="2">
        <f t="shared" si="129"/>
        <v>0</v>
      </c>
      <c r="Z194" s="3">
        <f t="shared" si="130"/>
        <v>0</v>
      </c>
      <c r="AA194" s="13">
        <f t="shared" si="132"/>
        <v>750</v>
      </c>
      <c r="AB194" s="11">
        <v>750</v>
      </c>
    </row>
    <row r="195" spans="1:31">
      <c r="A195" s="9" t="s">
        <v>28</v>
      </c>
      <c r="B195" s="10">
        <v>7777</v>
      </c>
      <c r="C195" s="10">
        <v>5</v>
      </c>
      <c r="D195" s="10"/>
      <c r="E195" s="10">
        <v>1.2</v>
      </c>
      <c r="F195" s="10">
        <v>1.1000000000000001</v>
      </c>
      <c r="G195" s="10">
        <v>1</v>
      </c>
      <c r="H195" s="10"/>
      <c r="I195" s="2"/>
      <c r="J195" s="3"/>
      <c r="K195" s="2"/>
      <c r="L195" s="3"/>
      <c r="M195" s="13"/>
      <c r="N195" s="11"/>
      <c r="O195" s="9" t="s">
        <v>28</v>
      </c>
      <c r="P195" s="10">
        <v>7777</v>
      </c>
      <c r="Q195" s="10">
        <v>5</v>
      </c>
      <c r="R195" s="10"/>
      <c r="S195" s="10">
        <v>1.25</v>
      </c>
      <c r="T195" s="10">
        <v>1.05</v>
      </c>
      <c r="U195" s="10">
        <v>1.05</v>
      </c>
      <c r="V195" s="10"/>
      <c r="W195" s="2"/>
      <c r="X195" s="3"/>
      <c r="Y195" s="2"/>
      <c r="Z195" s="3"/>
      <c r="AA195" s="13"/>
      <c r="AB195" s="11"/>
    </row>
    <row r="198" spans="1:31">
      <c r="A198" s="35" t="s">
        <v>81</v>
      </c>
      <c r="B198" s="4" t="s">
        <v>12</v>
      </c>
      <c r="C198" s="4" t="s">
        <v>2</v>
      </c>
      <c r="D198" s="4" t="s">
        <v>1</v>
      </c>
      <c r="E198" s="4" t="s">
        <v>3</v>
      </c>
      <c r="F198" s="4" t="s">
        <v>4</v>
      </c>
      <c r="G198" s="4" t="s">
        <v>8</v>
      </c>
      <c r="H198" s="4" t="s">
        <v>11</v>
      </c>
      <c r="I198" s="4" t="s">
        <v>9</v>
      </c>
      <c r="J198" s="4" t="s">
        <v>10</v>
      </c>
      <c r="K198" s="4" t="s">
        <v>19</v>
      </c>
      <c r="L198" s="4" t="s">
        <v>20</v>
      </c>
      <c r="M198" s="15" t="s">
        <v>9</v>
      </c>
      <c r="N198" s="14" t="s">
        <v>36</v>
      </c>
      <c r="R198" s="36" t="s">
        <v>82</v>
      </c>
      <c r="S198" s="4" t="s">
        <v>12</v>
      </c>
      <c r="T198" s="4" t="s">
        <v>2</v>
      </c>
      <c r="U198" s="4" t="s">
        <v>1</v>
      </c>
      <c r="V198" s="4" t="s">
        <v>3</v>
      </c>
      <c r="W198" s="4" t="s">
        <v>4</v>
      </c>
      <c r="X198" s="4" t="s">
        <v>8</v>
      </c>
      <c r="Y198" s="4" t="s">
        <v>11</v>
      </c>
      <c r="Z198" s="4" t="s">
        <v>9</v>
      </c>
      <c r="AA198" s="4" t="s">
        <v>10</v>
      </c>
      <c r="AB198" s="4" t="s">
        <v>19</v>
      </c>
      <c r="AC198" s="4" t="s">
        <v>20</v>
      </c>
      <c r="AD198" s="15" t="s">
        <v>9</v>
      </c>
      <c r="AE198" s="14" t="s">
        <v>36</v>
      </c>
    </row>
    <row r="199" spans="1:31">
      <c r="A199" s="5" t="s">
        <v>5</v>
      </c>
      <c r="B199" s="1">
        <v>1</v>
      </c>
      <c r="C199" s="1">
        <v>1</v>
      </c>
      <c r="D199" s="1">
        <f>33*3</f>
        <v>99</v>
      </c>
      <c r="E199" s="1">
        <v>0.72</v>
      </c>
      <c r="F199" s="1">
        <v>100</v>
      </c>
      <c r="G199" s="1">
        <f t="shared" ref="G199:G207" si="133">MIN(B199/C199,F199)</f>
        <v>1</v>
      </c>
      <c r="H199" s="1">
        <f>0.025*3*2</f>
        <v>0.15000000000000002</v>
      </c>
      <c r="I199" s="2" cm="1">
        <f t="array" ref="I199">SPDAM(D199,E199,F199)</f>
        <v>353.57142857142651</v>
      </c>
      <c r="J199" s="3" cm="1">
        <f t="array" ref="J199">SPDAM(D199,E199,G199)</f>
        <v>99</v>
      </c>
      <c r="K199" s="2">
        <f t="shared" ref="K199:K207" si="134">F199*H199</f>
        <v>15.000000000000002</v>
      </c>
      <c r="L199" s="3">
        <f t="shared" ref="L199:L207" si="135">G199*H199</f>
        <v>0.15000000000000002</v>
      </c>
      <c r="M199" s="13">
        <f>I199+N199</f>
        <v>353.57142857142651</v>
      </c>
      <c r="N199" s="11">
        <v>0</v>
      </c>
      <c r="R199" s="5" t="s">
        <v>5</v>
      </c>
      <c r="S199" s="1">
        <v>1</v>
      </c>
      <c r="T199" s="1">
        <v>1</v>
      </c>
      <c r="U199" s="1">
        <v>111</v>
      </c>
      <c r="V199" s="1">
        <v>0.85</v>
      </c>
      <c r="W199" s="1">
        <v>4</v>
      </c>
      <c r="X199" s="1">
        <f t="shared" ref="X199:X202" si="136">MIN(S199/T199,W199)</f>
        <v>1</v>
      </c>
      <c r="Y199" s="1">
        <v>0</v>
      </c>
      <c r="Z199" s="2" cm="1">
        <f t="array" ref="Z199">SPDAM(U199,V199,W199)</f>
        <v>353.71537500000005</v>
      </c>
      <c r="AA199" s="3" cm="1">
        <f t="array" ref="AA199">SPDAM(U199,V199,X199)</f>
        <v>111</v>
      </c>
      <c r="AB199" s="2">
        <f t="shared" ref="AB199:AB207" si="137">W199*Y199</f>
        <v>0</v>
      </c>
      <c r="AC199" s="3">
        <f t="shared" ref="AC199:AC207" si="138">X199*Y199</f>
        <v>0</v>
      </c>
      <c r="AD199" s="13">
        <f>Z199+AE199</f>
        <v>353.71537500000005</v>
      </c>
      <c r="AE199" s="11">
        <v>0</v>
      </c>
    </row>
    <row r="200" spans="1:31">
      <c r="A200" s="12" t="s">
        <v>6</v>
      </c>
      <c r="B200" s="1">
        <v>1</v>
      </c>
      <c r="C200" s="1">
        <v>1</v>
      </c>
      <c r="D200" s="1">
        <f>130*8</f>
        <v>1040</v>
      </c>
      <c r="E200" s="1">
        <v>0.5</v>
      </c>
      <c r="F200" s="1">
        <v>4</v>
      </c>
      <c r="G200" s="1">
        <f t="shared" si="133"/>
        <v>1</v>
      </c>
      <c r="H200" s="1">
        <f>0.1*2</f>
        <v>0.2</v>
      </c>
      <c r="I200" s="2" cm="1">
        <f t="array" ref="I200">SPDAM(D200,E200,F200)</f>
        <v>1950</v>
      </c>
      <c r="J200" s="3" cm="1">
        <f t="array" ref="J200">SPDAM(D200,E200,G200)</f>
        <v>1040</v>
      </c>
      <c r="K200" s="2">
        <f t="shared" si="134"/>
        <v>0.8</v>
      </c>
      <c r="L200" s="3">
        <f t="shared" si="135"/>
        <v>0.2</v>
      </c>
      <c r="M200" s="13">
        <f t="shared" ref="M200:M207" si="139">I200+N200</f>
        <v>1950</v>
      </c>
      <c r="N200" s="11">
        <v>0</v>
      </c>
      <c r="R200" s="12" t="s">
        <v>6</v>
      </c>
      <c r="S200" s="1">
        <v>1</v>
      </c>
      <c r="T200" s="1">
        <v>1</v>
      </c>
      <c r="U200" s="1">
        <v>204</v>
      </c>
      <c r="V200" s="1">
        <v>0.87</v>
      </c>
      <c r="W200" s="1">
        <v>8</v>
      </c>
      <c r="X200" s="1">
        <f t="shared" si="136"/>
        <v>1</v>
      </c>
      <c r="Y200" s="1">
        <f>0.25*2.5</f>
        <v>0.625</v>
      </c>
      <c r="Z200" s="2" cm="1">
        <f t="array" ref="Z200">SPDAM(U200,V200,W200)</f>
        <v>1054.1909154237132</v>
      </c>
      <c r="AA200" s="3" cm="1">
        <f t="array" ref="AA200">SPDAM(U200,V200,X200)</f>
        <v>204</v>
      </c>
      <c r="AB200" s="2">
        <f t="shared" si="137"/>
        <v>5</v>
      </c>
      <c r="AC200" s="3">
        <f t="shared" si="138"/>
        <v>0.625</v>
      </c>
      <c r="AD200" s="13">
        <f t="shared" ref="AD200" si="140">Z200+AE200</f>
        <v>1054.1909154237132</v>
      </c>
      <c r="AE200" s="11">
        <v>0</v>
      </c>
    </row>
    <row r="201" spans="1:31">
      <c r="A201" s="5" t="s">
        <v>7</v>
      </c>
      <c r="B201" s="1">
        <v>1</v>
      </c>
      <c r="C201" s="1">
        <v>1</v>
      </c>
      <c r="D201" s="1">
        <v>10</v>
      </c>
      <c r="E201" s="1">
        <v>0.95</v>
      </c>
      <c r="F201" s="1">
        <v>6</v>
      </c>
      <c r="G201" s="1">
        <f t="shared" si="133"/>
        <v>1</v>
      </c>
      <c r="H201" s="1">
        <v>50</v>
      </c>
      <c r="I201" s="2" cm="1">
        <f t="array" ref="I201">SPDAM(D201,E201,F201)</f>
        <v>52.981621875000002</v>
      </c>
      <c r="J201" s="3" cm="1">
        <f t="array" ref="J201">SPDAM(D201,E201,G201)</f>
        <v>10</v>
      </c>
      <c r="K201" s="2">
        <f t="shared" si="134"/>
        <v>300</v>
      </c>
      <c r="L201" s="3">
        <f t="shared" si="135"/>
        <v>50</v>
      </c>
      <c r="M201" s="13">
        <f>I201+N201</f>
        <v>252.981621875</v>
      </c>
      <c r="N201" s="11">
        <v>200</v>
      </c>
      <c r="R201" s="5" t="s">
        <v>7</v>
      </c>
      <c r="S201" s="1">
        <v>1</v>
      </c>
      <c r="T201" s="1">
        <v>1</v>
      </c>
      <c r="U201" s="1">
        <f>18*10</f>
        <v>180</v>
      </c>
      <c r="V201" s="1">
        <v>0.5</v>
      </c>
      <c r="W201" s="1">
        <v>3</v>
      </c>
      <c r="X201" s="1">
        <f t="shared" si="136"/>
        <v>1</v>
      </c>
      <c r="Y201" s="1">
        <v>0</v>
      </c>
      <c r="Z201" s="2" cm="1">
        <f t="array" ref="Z201">SPDAM(U201,V201,W201)</f>
        <v>315</v>
      </c>
      <c r="AA201" s="3" cm="1">
        <f t="array" ref="AA201">SPDAM(U201,V201,X201)</f>
        <v>180</v>
      </c>
      <c r="AB201" s="2">
        <f t="shared" si="137"/>
        <v>0</v>
      </c>
      <c r="AC201" s="3">
        <f t="shared" si="138"/>
        <v>0</v>
      </c>
      <c r="AD201" s="13">
        <f>Z201+AE201</f>
        <v>540</v>
      </c>
      <c r="AE201" s="11">
        <v>225</v>
      </c>
    </row>
    <row r="202" spans="1:31">
      <c r="A202" s="5" t="s">
        <v>13</v>
      </c>
      <c r="B202" s="1">
        <v>1</v>
      </c>
      <c r="C202" s="1">
        <v>1</v>
      </c>
      <c r="D202" s="1">
        <v>111</v>
      </c>
      <c r="E202" s="1">
        <v>0.9</v>
      </c>
      <c r="F202" s="1">
        <v>12</v>
      </c>
      <c r="G202" s="1">
        <f t="shared" si="133"/>
        <v>1</v>
      </c>
      <c r="H202" s="1">
        <v>0</v>
      </c>
      <c r="I202" s="2" cm="1">
        <f t="array" ref="I202">SPDAM(D202,E202,F202)</f>
        <v>796.50321450608999</v>
      </c>
      <c r="J202" s="3" cm="1">
        <f t="array" ref="J202">SPDAM(D202,E202,G202)</f>
        <v>111</v>
      </c>
      <c r="K202" s="2">
        <f t="shared" si="134"/>
        <v>0</v>
      </c>
      <c r="L202" s="3">
        <f t="shared" si="135"/>
        <v>0</v>
      </c>
      <c r="M202" s="13">
        <f t="shared" si="139"/>
        <v>1096.50321450609</v>
      </c>
      <c r="N202" s="11">
        <v>300</v>
      </c>
      <c r="R202" s="5" t="s">
        <v>13</v>
      </c>
      <c r="S202" s="1">
        <v>80</v>
      </c>
      <c r="T202" s="1">
        <v>15</v>
      </c>
      <c r="U202" s="1">
        <v>74</v>
      </c>
      <c r="V202" s="1">
        <v>0.9</v>
      </c>
      <c r="W202" s="1">
        <v>30</v>
      </c>
      <c r="X202" s="1">
        <f t="shared" si="136"/>
        <v>5.333333333333333</v>
      </c>
      <c r="Y202" s="1">
        <v>0</v>
      </c>
      <c r="Z202" s="2" cm="1">
        <f t="array" ref="Z202">SPDAM(U202,V202,W202)</f>
        <v>708.63054287634009</v>
      </c>
      <c r="AA202" s="3" cm="1">
        <f t="array" ref="AA202">SPDAM(U202,V202,X202)</f>
        <v>318.11724823032404</v>
      </c>
      <c r="AB202" s="2">
        <f t="shared" si="137"/>
        <v>0</v>
      </c>
      <c r="AC202" s="3">
        <f t="shared" si="138"/>
        <v>0</v>
      </c>
      <c r="AD202" s="13">
        <f t="shared" ref="AD202:AD207" si="141">Z202+AE202</f>
        <v>1108.6305428763401</v>
      </c>
      <c r="AE202" s="11">
        <v>400</v>
      </c>
    </row>
    <row r="203" spans="1:31">
      <c r="A203" s="5" t="s">
        <v>14</v>
      </c>
      <c r="B203" s="1">
        <v>1</v>
      </c>
      <c r="C203" s="1">
        <v>1</v>
      </c>
      <c r="D203" s="1">
        <v>77</v>
      </c>
      <c r="E203" s="1">
        <v>0.85</v>
      </c>
      <c r="F203" s="1">
        <v>7</v>
      </c>
      <c r="G203" s="1">
        <f>MIN(B203/C203,F203)</f>
        <v>1</v>
      </c>
      <c r="H203" s="1">
        <v>25</v>
      </c>
      <c r="I203" s="2" cm="1">
        <f t="array" ref="I203">SPDAM(D203,E203,F203)</f>
        <v>348.77042801562499</v>
      </c>
      <c r="J203" s="3" cm="1">
        <f t="array" ref="J203">SPDAM(D203,E203,G203)</f>
        <v>77</v>
      </c>
      <c r="K203" s="2">
        <f t="shared" si="134"/>
        <v>175</v>
      </c>
      <c r="L203" s="3">
        <f t="shared" si="135"/>
        <v>25</v>
      </c>
      <c r="M203" s="13">
        <f t="shared" si="139"/>
        <v>348.77042801562499</v>
      </c>
      <c r="N203" s="11">
        <v>0</v>
      </c>
      <c r="R203" s="5" t="s">
        <v>14</v>
      </c>
      <c r="S203" s="1">
        <v>1</v>
      </c>
      <c r="T203" s="1">
        <v>1</v>
      </c>
      <c r="U203" s="1">
        <f>30*7</f>
        <v>210</v>
      </c>
      <c r="V203" s="1">
        <v>1</v>
      </c>
      <c r="W203" s="1">
        <v>1</v>
      </c>
      <c r="X203" s="1">
        <f>MIN(S203/T203,W203)</f>
        <v>1</v>
      </c>
      <c r="Y203" s="1">
        <f>25*7</f>
        <v>175</v>
      </c>
      <c r="Z203" s="2" cm="1">
        <f t="array" ref="Z203">SPDAM(U203,V203,W203)</f>
        <v>210</v>
      </c>
      <c r="AA203" s="3" cm="1">
        <f t="array" ref="AA203">SPDAM(U203,V203,X203)</f>
        <v>210</v>
      </c>
      <c r="AB203" s="2">
        <f t="shared" si="137"/>
        <v>175</v>
      </c>
      <c r="AC203" s="3">
        <f t="shared" si="138"/>
        <v>175</v>
      </c>
      <c r="AD203" s="13">
        <f t="shared" si="141"/>
        <v>210</v>
      </c>
      <c r="AE203" s="11">
        <v>0</v>
      </c>
    </row>
    <row r="204" spans="1:31">
      <c r="A204" s="12" t="s">
        <v>15</v>
      </c>
      <c r="B204" s="1">
        <v>1</v>
      </c>
      <c r="C204" s="1">
        <v>1</v>
      </c>
      <c r="D204" s="1">
        <f>222</f>
        <v>222</v>
      </c>
      <c r="E204" s="1">
        <v>0.9</v>
      </c>
      <c r="F204" s="1">
        <v>10</v>
      </c>
      <c r="G204" s="1">
        <f t="shared" si="133"/>
        <v>1</v>
      </c>
      <c r="H204" s="1">
        <f>0.4*2</f>
        <v>0.8</v>
      </c>
      <c r="I204" s="2" cm="1">
        <f t="array" ref="I204">SPDAM(D204,E204,F204)</f>
        <v>1445.933862978</v>
      </c>
      <c r="J204" s="3" cm="1">
        <f t="array" ref="J204">SPDAM(D204,E204,G204)</f>
        <v>222</v>
      </c>
      <c r="K204" s="2">
        <f t="shared" si="134"/>
        <v>8</v>
      </c>
      <c r="L204" s="3">
        <f t="shared" si="135"/>
        <v>0.8</v>
      </c>
      <c r="M204" s="13">
        <f t="shared" si="139"/>
        <v>1445.933862978</v>
      </c>
      <c r="N204" s="11">
        <v>0</v>
      </c>
      <c r="R204" s="12" t="s">
        <v>15</v>
      </c>
      <c r="S204" s="1">
        <v>1</v>
      </c>
      <c r="T204" s="1">
        <v>1</v>
      </c>
      <c r="U204" s="1">
        <v>230</v>
      </c>
      <c r="V204" s="1">
        <v>0.9</v>
      </c>
      <c r="W204" s="1">
        <v>8</v>
      </c>
      <c r="X204" s="1">
        <f t="shared" ref="X204:X207" si="142">MIN(S204/T204,W204)</f>
        <v>1</v>
      </c>
      <c r="Y204" s="1">
        <f>0.3*3</f>
        <v>0.89999999999999991</v>
      </c>
      <c r="Z204" s="2" cm="1">
        <f t="array" ref="Z204">SPDAM(U204,V204,W204)</f>
        <v>1309.9254169999999</v>
      </c>
      <c r="AA204" s="3" cm="1">
        <f t="array" ref="AA204">SPDAM(U204,V204,X204)</f>
        <v>230</v>
      </c>
      <c r="AB204" s="2">
        <f t="shared" si="137"/>
        <v>7.1999999999999993</v>
      </c>
      <c r="AC204" s="3">
        <f t="shared" si="138"/>
        <v>0.89999999999999991</v>
      </c>
      <c r="AD204" s="13">
        <f t="shared" si="141"/>
        <v>1309.9254169999999</v>
      </c>
      <c r="AE204" s="11">
        <v>0</v>
      </c>
    </row>
    <row r="205" spans="1:31">
      <c r="A205" s="5" t="s">
        <v>16</v>
      </c>
      <c r="B205" s="1">
        <v>1</v>
      </c>
      <c r="C205" s="1">
        <v>1</v>
      </c>
      <c r="D205" s="1">
        <v>188</v>
      </c>
      <c r="E205" s="1">
        <v>0.9</v>
      </c>
      <c r="F205" s="1">
        <v>10</v>
      </c>
      <c r="G205" s="1">
        <f t="shared" si="133"/>
        <v>1</v>
      </c>
      <c r="H205" s="1">
        <f>0.3*2.5</f>
        <v>0.75</v>
      </c>
      <c r="I205" s="2" cm="1">
        <f t="array" ref="I205">SPDAM(D205,E205,F205)</f>
        <v>1224.4845326120001</v>
      </c>
      <c r="J205" s="3" cm="1">
        <f t="array" ref="J205">SPDAM(D205,E205,G205)</f>
        <v>188</v>
      </c>
      <c r="K205" s="2">
        <f t="shared" si="134"/>
        <v>7.5</v>
      </c>
      <c r="L205" s="3">
        <f t="shared" si="135"/>
        <v>0.75</v>
      </c>
      <c r="M205" s="13">
        <f t="shared" si="139"/>
        <v>1774.4845326120001</v>
      </c>
      <c r="N205" s="18">
        <v>550</v>
      </c>
      <c r="R205" s="5" t="s">
        <v>16</v>
      </c>
      <c r="S205" s="1">
        <v>1</v>
      </c>
      <c r="T205" s="1">
        <v>1</v>
      </c>
      <c r="U205" s="1">
        <f>62*3</f>
        <v>186</v>
      </c>
      <c r="V205" s="1">
        <v>0.9</v>
      </c>
      <c r="W205" s="1">
        <v>4</v>
      </c>
      <c r="X205" s="1">
        <f t="shared" si="142"/>
        <v>1</v>
      </c>
      <c r="Y205" s="1">
        <v>0</v>
      </c>
      <c r="Z205" s="2" cm="1">
        <f t="array" ref="Z205">SPDAM(U205,V205,W205)</f>
        <v>639.65400000000022</v>
      </c>
      <c r="AA205" s="3" cm="1">
        <f t="array" ref="AA205">SPDAM(U205,V205,X205)</f>
        <v>186</v>
      </c>
      <c r="AB205" s="2">
        <f t="shared" si="137"/>
        <v>0</v>
      </c>
      <c r="AC205" s="3">
        <f t="shared" si="138"/>
        <v>0</v>
      </c>
      <c r="AD205" s="13">
        <f t="shared" si="141"/>
        <v>1189.6540000000002</v>
      </c>
      <c r="AE205" s="18">
        <v>550</v>
      </c>
    </row>
    <row r="206" spans="1:31">
      <c r="A206" s="5" t="s">
        <v>17</v>
      </c>
      <c r="B206" s="1">
        <v>1</v>
      </c>
      <c r="C206" s="1">
        <v>1</v>
      </c>
      <c r="D206" s="1">
        <v>55.5</v>
      </c>
      <c r="E206" s="1">
        <v>1</v>
      </c>
      <c r="F206" s="1">
        <v>6</v>
      </c>
      <c r="G206" s="1">
        <f t="shared" si="133"/>
        <v>1</v>
      </c>
      <c r="H206" s="1">
        <f>0.5*3.5</f>
        <v>1.75</v>
      </c>
      <c r="I206" s="2" cm="1">
        <f t="array" ref="I206">SPDAM(D206,E206,F206)</f>
        <v>333</v>
      </c>
      <c r="J206" s="3" cm="1">
        <f t="array" ref="J206">SPDAM(D206,E206,G206)</f>
        <v>55.5</v>
      </c>
      <c r="K206" s="2">
        <f t="shared" si="134"/>
        <v>10.5</v>
      </c>
      <c r="L206" s="3">
        <f t="shared" si="135"/>
        <v>1.75</v>
      </c>
      <c r="M206" s="13">
        <f t="shared" si="139"/>
        <v>933</v>
      </c>
      <c r="N206" s="11">
        <v>600</v>
      </c>
      <c r="O206" t="s">
        <v>76</v>
      </c>
      <c r="R206" s="5" t="s">
        <v>17</v>
      </c>
      <c r="S206" s="1">
        <v>1</v>
      </c>
      <c r="T206" s="1">
        <v>1</v>
      </c>
      <c r="U206" s="1">
        <v>111</v>
      </c>
      <c r="V206" s="1">
        <v>0.85</v>
      </c>
      <c r="W206" s="1">
        <v>4.5</v>
      </c>
      <c r="X206" s="1">
        <f t="shared" si="142"/>
        <v>1</v>
      </c>
      <c r="Y206" s="1">
        <v>0</v>
      </c>
      <c r="Z206" s="2" cm="1">
        <f t="array" ref="Z206">SPDAM(U206,V206,W206)</f>
        <v>383.86317266437885</v>
      </c>
      <c r="AA206" s="3" cm="1">
        <f t="array" ref="AA206">SPDAM(U206,V206,X206)</f>
        <v>111</v>
      </c>
      <c r="AB206" s="2">
        <f t="shared" si="137"/>
        <v>0</v>
      </c>
      <c r="AC206" s="3">
        <f t="shared" si="138"/>
        <v>0</v>
      </c>
      <c r="AD206" s="13">
        <f t="shared" si="141"/>
        <v>833.86317266437891</v>
      </c>
      <c r="AE206" s="11">
        <v>450</v>
      </c>
    </row>
    <row r="207" spans="1:31">
      <c r="A207" s="5" t="s">
        <v>18</v>
      </c>
      <c r="B207" s="1">
        <v>1</v>
      </c>
      <c r="C207" s="1">
        <v>1</v>
      </c>
      <c r="D207" s="1">
        <v>0</v>
      </c>
      <c r="E207" s="1">
        <v>1</v>
      </c>
      <c r="F207" s="1">
        <v>1</v>
      </c>
      <c r="G207" s="1">
        <f t="shared" si="133"/>
        <v>1</v>
      </c>
      <c r="H207" s="1">
        <v>0</v>
      </c>
      <c r="I207" s="2" cm="1">
        <f t="array" ref="I207">SPDAM(D207,E207,F207)</f>
        <v>0</v>
      </c>
      <c r="J207" s="3" cm="1">
        <f t="array" ref="J207">SPDAM(D207,E207,H207)</f>
        <v>0</v>
      </c>
      <c r="K207" s="2">
        <f t="shared" si="134"/>
        <v>0</v>
      </c>
      <c r="L207" s="3">
        <f t="shared" si="135"/>
        <v>0</v>
      </c>
      <c r="M207" s="13">
        <f t="shared" si="139"/>
        <v>750</v>
      </c>
      <c r="N207" s="11">
        <v>750</v>
      </c>
      <c r="R207" s="5" t="s">
        <v>18</v>
      </c>
      <c r="S207" s="1">
        <v>1</v>
      </c>
      <c r="T207" s="1">
        <v>1</v>
      </c>
      <c r="U207" s="1">
        <v>0</v>
      </c>
      <c r="V207" s="1">
        <v>1</v>
      </c>
      <c r="W207" s="1">
        <v>1</v>
      </c>
      <c r="X207" s="1">
        <f t="shared" si="142"/>
        <v>1</v>
      </c>
      <c r="Y207" s="1">
        <v>0</v>
      </c>
      <c r="Z207" s="2" cm="1">
        <f t="array" ref="Z207">SPDAM(U207,V207,W207)</f>
        <v>0</v>
      </c>
      <c r="AA207" s="3" cm="1">
        <f t="array" ref="AA207">SPDAM(U207,V207,Y207)</f>
        <v>0</v>
      </c>
      <c r="AB207" s="2">
        <f t="shared" si="137"/>
        <v>0</v>
      </c>
      <c r="AC207" s="3">
        <f t="shared" si="138"/>
        <v>0</v>
      </c>
      <c r="AD207" s="13">
        <f t="shared" si="141"/>
        <v>750</v>
      </c>
      <c r="AE207" s="11">
        <v>750</v>
      </c>
    </row>
    <row r="208" spans="1:31">
      <c r="A208" s="9" t="s">
        <v>28</v>
      </c>
      <c r="B208" s="10">
        <v>6789</v>
      </c>
      <c r="C208" s="10">
        <v>5</v>
      </c>
      <c r="D208" s="10"/>
      <c r="E208" s="10">
        <v>1</v>
      </c>
      <c r="F208" s="10">
        <v>1</v>
      </c>
      <c r="G208" s="10">
        <v>1.25</v>
      </c>
      <c r="H208" s="10"/>
      <c r="I208" s="2"/>
      <c r="J208" s="3"/>
      <c r="K208" s="2"/>
      <c r="L208" s="3"/>
      <c r="M208" s="13"/>
      <c r="N208" s="11"/>
      <c r="R208" s="9" t="s">
        <v>28</v>
      </c>
      <c r="S208" s="10">
        <v>8000</v>
      </c>
      <c r="T208" s="10">
        <v>5</v>
      </c>
      <c r="U208" s="10"/>
      <c r="V208" s="10">
        <v>1.05</v>
      </c>
      <c r="W208" s="10">
        <v>1.05</v>
      </c>
      <c r="X208" s="10">
        <v>1.05</v>
      </c>
      <c r="Y208" s="10"/>
      <c r="Z208" s="2"/>
      <c r="AA208" s="3"/>
      <c r="AB208" s="2"/>
      <c r="AC208" s="3"/>
      <c r="AD208" s="13"/>
      <c r="AE208" s="11"/>
    </row>
    <row r="211" spans="1:31">
      <c r="A211" s="37" t="s">
        <v>83</v>
      </c>
      <c r="B211" s="4" t="s">
        <v>12</v>
      </c>
      <c r="C211" s="4" t="s">
        <v>2</v>
      </c>
      <c r="D211" s="4" t="s">
        <v>1</v>
      </c>
      <c r="E211" s="4" t="s">
        <v>3</v>
      </c>
      <c r="F211" s="4" t="s">
        <v>4</v>
      </c>
      <c r="G211" s="4" t="s">
        <v>8</v>
      </c>
      <c r="H211" s="4" t="s">
        <v>11</v>
      </c>
      <c r="I211" s="4" t="s">
        <v>9</v>
      </c>
      <c r="J211" s="4" t="s">
        <v>10</v>
      </c>
      <c r="K211" s="4" t="s">
        <v>19</v>
      </c>
      <c r="L211" s="4" t="s">
        <v>20</v>
      </c>
      <c r="M211" s="15" t="s">
        <v>9</v>
      </c>
      <c r="N211" s="14" t="s">
        <v>36</v>
      </c>
      <c r="R211" s="38" t="s">
        <v>84</v>
      </c>
      <c r="S211" s="4" t="s">
        <v>12</v>
      </c>
      <c r="T211" s="4" t="s">
        <v>2</v>
      </c>
      <c r="U211" s="4" t="s">
        <v>1</v>
      </c>
      <c r="V211" s="4" t="s">
        <v>3</v>
      </c>
      <c r="W211" s="4" t="s">
        <v>4</v>
      </c>
      <c r="X211" s="4" t="s">
        <v>8</v>
      </c>
      <c r="Y211" s="4" t="s">
        <v>11</v>
      </c>
      <c r="Z211" s="4" t="s">
        <v>9</v>
      </c>
      <c r="AA211" s="4" t="s">
        <v>10</v>
      </c>
      <c r="AB211" s="4" t="s">
        <v>19</v>
      </c>
      <c r="AC211" s="4" t="s">
        <v>20</v>
      </c>
      <c r="AD211" s="15" t="s">
        <v>9</v>
      </c>
      <c r="AE211" s="14" t="s">
        <v>36</v>
      </c>
    </row>
    <row r="212" spans="1:31">
      <c r="A212" s="5" t="s">
        <v>5</v>
      </c>
      <c r="B212" s="1">
        <v>1</v>
      </c>
      <c r="C212" s="1">
        <v>1</v>
      </c>
      <c r="D212" s="1">
        <f>54*2</f>
        <v>108</v>
      </c>
      <c r="E212" s="1">
        <v>0.9</v>
      </c>
      <c r="F212" s="1">
        <v>3.5</v>
      </c>
      <c r="G212" s="1">
        <f t="shared" ref="G212:G220" si="143">MIN(B212/C212,F212)</f>
        <v>1</v>
      </c>
      <c r="H212" s="1">
        <v>0</v>
      </c>
      <c r="I212" s="2" cm="1">
        <f t="array" ref="I212">SPDAM(D212,E212,F212)</f>
        <v>333.08266577886945</v>
      </c>
      <c r="J212" s="3" cm="1">
        <f t="array" ref="J212">SPDAM(D212,E212,G212)</f>
        <v>108</v>
      </c>
      <c r="K212" s="2">
        <f t="shared" ref="K212:K220" si="144">F212*H212</f>
        <v>0</v>
      </c>
      <c r="L212" s="3">
        <f t="shared" ref="L212:L220" si="145">G212*H212</f>
        <v>0</v>
      </c>
      <c r="M212" s="13">
        <f>I212+N212</f>
        <v>333.08266577886945</v>
      </c>
      <c r="N212" s="11">
        <v>0</v>
      </c>
      <c r="R212" s="5" t="s">
        <v>5</v>
      </c>
      <c r="S212" s="1">
        <v>1</v>
      </c>
      <c r="T212" s="1">
        <v>1</v>
      </c>
      <c r="U212" s="1">
        <f>30*4</f>
        <v>120</v>
      </c>
      <c r="V212" s="1">
        <v>0.8</v>
      </c>
      <c r="W212" s="1">
        <v>4</v>
      </c>
      <c r="X212" s="1">
        <f t="shared" ref="X212:X220" si="146">MIN(S212/T212,W212)</f>
        <v>1</v>
      </c>
      <c r="Y212" s="1">
        <f>0.025*4</f>
        <v>0.1</v>
      </c>
      <c r="Z212" s="2" cm="1">
        <f t="array" ref="Z212">SPDAM(U212,V212,W212)</f>
        <v>354.24</v>
      </c>
      <c r="AA212" s="3" cm="1">
        <f t="array" ref="AA212">SPDAM(U212,V212,X212)</f>
        <v>120</v>
      </c>
      <c r="AB212" s="2">
        <f t="shared" ref="AB212:AB220" si="147">W212*Y212</f>
        <v>0.4</v>
      </c>
      <c r="AC212" s="3">
        <f t="shared" ref="AC212:AC220" si="148">X212*Y212</f>
        <v>0.1</v>
      </c>
      <c r="AD212" s="13">
        <f>Z212+AE212</f>
        <v>354.24</v>
      </c>
      <c r="AE212" s="11">
        <v>0</v>
      </c>
    </row>
    <row r="213" spans="1:31">
      <c r="A213" s="12" t="s">
        <v>6</v>
      </c>
      <c r="B213" s="1">
        <v>1</v>
      </c>
      <c r="C213" s="1">
        <v>1</v>
      </c>
      <c r="D213" s="1">
        <f>33*12</f>
        <v>396</v>
      </c>
      <c r="E213" s="1">
        <v>1</v>
      </c>
      <c r="F213" s="1">
        <v>2</v>
      </c>
      <c r="G213" s="1">
        <f t="shared" si="143"/>
        <v>1</v>
      </c>
      <c r="H213" s="1">
        <f>0.1*2*12</f>
        <v>2.4000000000000004</v>
      </c>
      <c r="I213" s="2" cm="1">
        <f t="array" ref="I213">SPDAM(D213,E213,F213)</f>
        <v>792</v>
      </c>
      <c r="J213" s="3" cm="1">
        <f t="array" ref="J213">SPDAM(D213,E213,G213)</f>
        <v>396</v>
      </c>
      <c r="K213" s="2">
        <f t="shared" si="144"/>
        <v>4.8000000000000007</v>
      </c>
      <c r="L213" s="3">
        <f t="shared" si="145"/>
        <v>2.4000000000000004</v>
      </c>
      <c r="M213" s="13">
        <f t="shared" ref="M213:M220" si="149">I213+N213</f>
        <v>792</v>
      </c>
      <c r="N213" s="11">
        <v>0</v>
      </c>
      <c r="R213" s="12" t="s">
        <v>6</v>
      </c>
      <c r="S213" s="1">
        <v>1</v>
      </c>
      <c r="T213" s="1">
        <v>1</v>
      </c>
      <c r="U213" s="1">
        <v>188</v>
      </c>
      <c r="V213" s="1">
        <v>0.95</v>
      </c>
      <c r="W213" s="1">
        <v>5</v>
      </c>
      <c r="X213" s="1">
        <f t="shared" si="146"/>
        <v>1</v>
      </c>
      <c r="Y213" s="1">
        <v>0.2</v>
      </c>
      <c r="Z213" s="2" cm="1">
        <f t="array" ref="Z213">SPDAM(U213,V213,W213)</f>
        <v>850.58367500000031</v>
      </c>
      <c r="AA213" s="3" cm="1">
        <f t="array" ref="AA213">SPDAM(U213,V213,X213)</f>
        <v>188</v>
      </c>
      <c r="AB213" s="2">
        <f t="shared" si="147"/>
        <v>1</v>
      </c>
      <c r="AC213" s="3">
        <f t="shared" si="148"/>
        <v>0.2</v>
      </c>
      <c r="AD213" s="13">
        <f t="shared" ref="AD213:AD220" si="150">Z213+AE213</f>
        <v>850.58367500000031</v>
      </c>
      <c r="AE213" s="11">
        <v>0</v>
      </c>
    </row>
    <row r="214" spans="1:31">
      <c r="A214" s="5" t="s">
        <v>7</v>
      </c>
      <c r="B214" s="1">
        <v>1</v>
      </c>
      <c r="C214" s="1">
        <v>1</v>
      </c>
      <c r="D214" s="1">
        <v>67</v>
      </c>
      <c r="E214" s="1">
        <v>0.9</v>
      </c>
      <c r="F214" s="1">
        <v>6</v>
      </c>
      <c r="G214" s="1">
        <f t="shared" si="143"/>
        <v>1</v>
      </c>
      <c r="H214" s="1">
        <f>0.1*2.5</f>
        <v>0.25</v>
      </c>
      <c r="I214" s="2" cm="1">
        <f t="array" ref="I214">SPDAM(D214,E214,F214)</f>
        <v>313.93453</v>
      </c>
      <c r="J214" s="3" cm="1">
        <f t="array" ref="J214">SPDAM(D214,E214,G214)</f>
        <v>67</v>
      </c>
      <c r="K214" s="2">
        <f t="shared" si="144"/>
        <v>1.5</v>
      </c>
      <c r="L214" s="3">
        <f t="shared" si="145"/>
        <v>0.25</v>
      </c>
      <c r="M214" s="13">
        <f t="shared" si="149"/>
        <v>588.93453</v>
      </c>
      <c r="N214" s="11">
        <v>275</v>
      </c>
      <c r="R214" s="5" t="s">
        <v>7</v>
      </c>
      <c r="S214" s="1">
        <f>120*2</f>
        <v>240</v>
      </c>
      <c r="T214" s="1">
        <v>55</v>
      </c>
      <c r="U214" s="1">
        <v>42</v>
      </c>
      <c r="V214" s="1">
        <v>0.86499999999999999</v>
      </c>
      <c r="W214" s="1">
        <v>90</v>
      </c>
      <c r="X214" s="1">
        <f t="shared" si="146"/>
        <v>4.3636363636363633</v>
      </c>
      <c r="Y214" s="1">
        <v>0.05</v>
      </c>
      <c r="Z214" s="2" cm="1">
        <f t="array" ref="Z214">SPDAM(U214,V214,W214)</f>
        <v>311.11044374339508</v>
      </c>
      <c r="AA214" s="3" cm="1">
        <f t="array" ref="AA214">SPDAM(U214,V214,X214)</f>
        <v>145.88574680815302</v>
      </c>
      <c r="AB214" s="2">
        <f t="shared" si="147"/>
        <v>4.5</v>
      </c>
      <c r="AC214" s="3">
        <f t="shared" si="148"/>
        <v>0.21818181818181817</v>
      </c>
      <c r="AD214" s="13">
        <f t="shared" si="150"/>
        <v>561.11044374339508</v>
      </c>
      <c r="AE214" s="11">
        <v>250</v>
      </c>
    </row>
    <row r="215" spans="1:31">
      <c r="A215" s="12" t="s">
        <v>13</v>
      </c>
      <c r="B215" s="1">
        <v>1</v>
      </c>
      <c r="C215" s="1">
        <v>1</v>
      </c>
      <c r="D215" s="1">
        <v>550</v>
      </c>
      <c r="E215" s="1">
        <v>1</v>
      </c>
      <c r="F215" s="1">
        <v>1</v>
      </c>
      <c r="G215" s="1">
        <f t="shared" si="143"/>
        <v>1</v>
      </c>
      <c r="H215" s="1">
        <v>0</v>
      </c>
      <c r="I215" s="2" cm="1">
        <f t="array" ref="I215">SPDAM(D215,E215,F215)</f>
        <v>550</v>
      </c>
      <c r="J215" s="3" cm="1">
        <f t="array" ref="J215">SPDAM(D215,E215,G215)</f>
        <v>550</v>
      </c>
      <c r="K215" s="2">
        <f t="shared" si="144"/>
        <v>0</v>
      </c>
      <c r="L215" s="3">
        <f t="shared" si="145"/>
        <v>0</v>
      </c>
      <c r="M215" s="13">
        <f t="shared" si="149"/>
        <v>1100</v>
      </c>
      <c r="N215" s="11">
        <v>550</v>
      </c>
      <c r="R215" s="5" t="s">
        <v>13</v>
      </c>
      <c r="S215" s="1">
        <v>1</v>
      </c>
      <c r="T215" s="1">
        <v>1</v>
      </c>
      <c r="U215" s="1">
        <v>88</v>
      </c>
      <c r="V215" s="1">
        <v>0.9</v>
      </c>
      <c r="W215" s="1">
        <v>10</v>
      </c>
      <c r="X215" s="1">
        <f t="shared" si="146"/>
        <v>1</v>
      </c>
      <c r="Y215" s="1">
        <v>0.3</v>
      </c>
      <c r="Z215" s="2" cm="1">
        <f t="array" ref="Z215">SPDAM(U215,V215,W215)</f>
        <v>573.16297271200006</v>
      </c>
      <c r="AA215" s="3" cm="1">
        <f t="array" ref="AA215">SPDAM(U215,V215,X215)</f>
        <v>88</v>
      </c>
      <c r="AB215" s="2">
        <f t="shared" si="147"/>
        <v>3</v>
      </c>
      <c r="AC215" s="3">
        <f t="shared" si="148"/>
        <v>0.3</v>
      </c>
      <c r="AD215" s="13">
        <f t="shared" si="150"/>
        <v>973.16297271200006</v>
      </c>
      <c r="AE215" s="11">
        <v>400</v>
      </c>
    </row>
    <row r="216" spans="1:31">
      <c r="A216" s="5" t="s">
        <v>14</v>
      </c>
      <c r="B216" s="1">
        <v>1</v>
      </c>
      <c r="C216" s="1">
        <v>1</v>
      </c>
      <c r="D216" s="1">
        <v>15</v>
      </c>
      <c r="E216" s="1">
        <v>1</v>
      </c>
      <c r="F216" s="1">
        <v>16</v>
      </c>
      <c r="G216" s="1">
        <f t="shared" si="143"/>
        <v>1</v>
      </c>
      <c r="H216" s="1">
        <f>0.05*2</f>
        <v>0.1</v>
      </c>
      <c r="I216" s="2" cm="1">
        <f t="array" ref="I216">SPDAM(D216,E216,F216)</f>
        <v>240</v>
      </c>
      <c r="J216" s="3" cm="1">
        <f t="array" ref="J216">SPDAM(D216,E216,G216)</f>
        <v>15</v>
      </c>
      <c r="K216" s="2">
        <f t="shared" si="144"/>
        <v>1.6</v>
      </c>
      <c r="L216" s="3">
        <f t="shared" si="145"/>
        <v>0.1</v>
      </c>
      <c r="M216" s="13">
        <f t="shared" si="149"/>
        <v>240</v>
      </c>
      <c r="N216" s="11">
        <v>0</v>
      </c>
      <c r="R216" s="5" t="s">
        <v>14</v>
      </c>
      <c r="S216" s="1">
        <v>1</v>
      </c>
      <c r="T216" s="1">
        <v>1</v>
      </c>
      <c r="U216" s="1">
        <f>45*6</f>
        <v>270</v>
      </c>
      <c r="V216" s="1">
        <v>1</v>
      </c>
      <c r="W216" s="1">
        <v>1.2</v>
      </c>
      <c r="X216" s="1">
        <f t="shared" si="146"/>
        <v>1</v>
      </c>
      <c r="Y216" s="1">
        <f>0.1*6</f>
        <v>0.60000000000000009</v>
      </c>
      <c r="Z216" s="2" cm="1">
        <f t="array" ref="Z216">SPDAM(U216,V216,W216)</f>
        <v>324</v>
      </c>
      <c r="AA216" s="3" cm="1">
        <f t="array" ref="AA216">SPDAM(U216,V216,X216)</f>
        <v>270</v>
      </c>
      <c r="AB216" s="2">
        <f t="shared" si="147"/>
        <v>0.72000000000000008</v>
      </c>
      <c r="AC216" s="3">
        <f t="shared" si="148"/>
        <v>0.60000000000000009</v>
      </c>
      <c r="AD216" s="13">
        <f t="shared" si="150"/>
        <v>324</v>
      </c>
      <c r="AE216" s="11">
        <v>0</v>
      </c>
    </row>
    <row r="217" spans="1:31">
      <c r="A217" s="12" t="s">
        <v>15</v>
      </c>
      <c r="B217" s="1">
        <v>1</v>
      </c>
      <c r="C217" s="1">
        <v>1</v>
      </c>
      <c r="D217" s="1">
        <v>166</v>
      </c>
      <c r="E217" s="1">
        <v>0.8</v>
      </c>
      <c r="F217" s="1">
        <v>2.5</v>
      </c>
      <c r="G217" s="1">
        <f t="shared" si="143"/>
        <v>1</v>
      </c>
      <c r="H217" s="1">
        <f>0.3*3</f>
        <v>0.89999999999999991</v>
      </c>
      <c r="I217" s="2" cm="1">
        <f t="array" ref="I217">SPDAM(D217,E217,F217)*3</f>
        <v>1064.6408284225342</v>
      </c>
      <c r="J217" s="3" cm="1">
        <f t="array" ref="J217">SPDAM(D217,E217,G217)</f>
        <v>166</v>
      </c>
      <c r="K217" s="2">
        <f>F217*H217*3</f>
        <v>6.75</v>
      </c>
      <c r="L217" s="3">
        <f t="shared" si="145"/>
        <v>0.89999999999999991</v>
      </c>
      <c r="M217" s="13">
        <f t="shared" si="149"/>
        <v>1064.6408284225342</v>
      </c>
      <c r="N217" s="11">
        <v>0</v>
      </c>
      <c r="R217" s="12" t="s">
        <v>15</v>
      </c>
      <c r="S217" s="1">
        <v>1</v>
      </c>
      <c r="T217" s="1">
        <v>1</v>
      </c>
      <c r="U217" s="1">
        <v>185</v>
      </c>
      <c r="V217" s="1">
        <v>0.97499999999999998</v>
      </c>
      <c r="W217" s="1">
        <v>7</v>
      </c>
      <c r="X217" s="1">
        <f t="shared" si="146"/>
        <v>1</v>
      </c>
      <c r="Y217" s="1">
        <v>0.35</v>
      </c>
      <c r="Z217" s="2" cm="1">
        <f t="array" ref="Z217">SPDAM(U217,V217,W217)</f>
        <v>1201.8222081018066</v>
      </c>
      <c r="AA217" s="3" cm="1">
        <f t="array" ref="AA217">SPDAM(U217,V217,X217)</f>
        <v>185</v>
      </c>
      <c r="AB217" s="2">
        <f t="shared" si="147"/>
        <v>2.4499999999999997</v>
      </c>
      <c r="AC217" s="3">
        <f t="shared" si="148"/>
        <v>0.35</v>
      </c>
      <c r="AD217" s="13">
        <f t="shared" si="150"/>
        <v>1201.8222081018066</v>
      </c>
      <c r="AE217" s="11">
        <v>0</v>
      </c>
    </row>
    <row r="218" spans="1:31">
      <c r="A218" s="5" t="s">
        <v>16</v>
      </c>
      <c r="B218" s="1">
        <v>1</v>
      </c>
      <c r="C218" s="1">
        <v>1</v>
      </c>
      <c r="D218" s="1">
        <v>142</v>
      </c>
      <c r="E218" s="1">
        <v>0.95</v>
      </c>
      <c r="F218" s="1">
        <v>9</v>
      </c>
      <c r="G218" s="1">
        <f t="shared" si="143"/>
        <v>1</v>
      </c>
      <c r="H218" s="1">
        <f>0.35*3</f>
        <v>1.0499999999999998</v>
      </c>
      <c r="I218" s="2" cm="1">
        <f t="array" ref="I218">SPDAM(D218,E218,F218)</f>
        <v>1050.0916763821092</v>
      </c>
      <c r="J218" s="3" cm="1">
        <f t="array" ref="J218">SPDAM(D218,E218,G218)</f>
        <v>142</v>
      </c>
      <c r="K218" s="2">
        <f t="shared" si="144"/>
        <v>9.4499999999999993</v>
      </c>
      <c r="L218" s="3">
        <f t="shared" si="145"/>
        <v>1.0499999999999998</v>
      </c>
      <c r="M218" s="13">
        <f t="shared" si="149"/>
        <v>1650.0916763821092</v>
      </c>
      <c r="N218" s="11">
        <v>600</v>
      </c>
      <c r="R218" s="5" t="s">
        <v>16</v>
      </c>
      <c r="S218" s="1">
        <v>1</v>
      </c>
      <c r="T218" s="1">
        <v>1</v>
      </c>
      <c r="U218" s="1">
        <v>199</v>
      </c>
      <c r="V218" s="1">
        <v>0.9</v>
      </c>
      <c r="W218" s="1">
        <v>7</v>
      </c>
      <c r="X218" s="1">
        <f t="shared" si="146"/>
        <v>1</v>
      </c>
      <c r="Y218" s="1">
        <v>1</v>
      </c>
      <c r="Z218" s="2" cm="1">
        <f t="array" ref="Z218">SPDAM(U218,V218,W218)</f>
        <v>1038.1891690000002</v>
      </c>
      <c r="AA218" s="3" cm="1">
        <f t="array" ref="AA218">SPDAM(U218,V218,X218)</f>
        <v>199</v>
      </c>
      <c r="AB218" s="2">
        <f t="shared" si="147"/>
        <v>7</v>
      </c>
      <c r="AC218" s="3">
        <f t="shared" si="148"/>
        <v>1</v>
      </c>
      <c r="AD218" s="13">
        <f t="shared" si="150"/>
        <v>1638.1891690000002</v>
      </c>
      <c r="AE218" s="18">
        <v>600</v>
      </c>
    </row>
    <row r="219" spans="1:31">
      <c r="A219" s="5" t="s">
        <v>17</v>
      </c>
      <c r="B219" s="1">
        <v>1</v>
      </c>
      <c r="C219" s="1">
        <v>1</v>
      </c>
      <c r="D219" s="1">
        <v>223</v>
      </c>
      <c r="E219" s="1">
        <v>0.95</v>
      </c>
      <c r="F219" s="1">
        <v>8</v>
      </c>
      <c r="G219" s="1">
        <f t="shared" si="143"/>
        <v>1</v>
      </c>
      <c r="H219" s="1">
        <f>0.3*4</f>
        <v>1.2</v>
      </c>
      <c r="I219" s="2" cm="1">
        <f t="array" ref="I219">SPDAM(D219,E219,F219)</f>
        <v>1501.1448764507813</v>
      </c>
      <c r="J219" s="3" cm="1">
        <f t="array" ref="J219">SPDAM(D219,E219,G219)</f>
        <v>223</v>
      </c>
      <c r="K219" s="2">
        <f t="shared" si="144"/>
        <v>9.6</v>
      </c>
      <c r="L219" s="3">
        <f t="shared" si="145"/>
        <v>1.2</v>
      </c>
      <c r="M219" s="13">
        <f t="shared" si="149"/>
        <v>2101.1448764507813</v>
      </c>
      <c r="N219" s="11">
        <v>600</v>
      </c>
      <c r="R219" s="5" t="s">
        <v>17</v>
      </c>
      <c r="S219" s="1">
        <v>1</v>
      </c>
      <c r="T219" s="1">
        <v>1</v>
      </c>
      <c r="U219" s="1">
        <v>207</v>
      </c>
      <c r="V219" s="1">
        <v>0.95</v>
      </c>
      <c r="W219" s="1">
        <v>8</v>
      </c>
      <c r="X219" s="1">
        <f t="shared" si="146"/>
        <v>1</v>
      </c>
      <c r="Y219" s="1">
        <v>0.5</v>
      </c>
      <c r="Z219" s="2" cm="1">
        <f t="array" ref="Z219">SPDAM(U219,V219,W219)</f>
        <v>1393.4394144632811</v>
      </c>
      <c r="AA219" s="3" cm="1">
        <f t="array" ref="AA219">SPDAM(U219,V219,X219)</f>
        <v>207</v>
      </c>
      <c r="AB219" s="2">
        <f t="shared" si="147"/>
        <v>4</v>
      </c>
      <c r="AC219" s="3">
        <f t="shared" si="148"/>
        <v>0.5</v>
      </c>
      <c r="AD219" s="13">
        <f t="shared" si="150"/>
        <v>1993.4394144632811</v>
      </c>
      <c r="AE219" s="11">
        <v>600</v>
      </c>
    </row>
    <row r="220" spans="1:31">
      <c r="A220" s="5" t="s">
        <v>35</v>
      </c>
      <c r="B220" s="1">
        <v>1</v>
      </c>
      <c r="C220" s="1">
        <v>1</v>
      </c>
      <c r="D220" s="1">
        <v>1</v>
      </c>
      <c r="E220" s="1">
        <v>0.9</v>
      </c>
      <c r="F220" s="1">
        <v>7</v>
      </c>
      <c r="G220" s="1">
        <f t="shared" si="143"/>
        <v>1</v>
      </c>
      <c r="H220" s="1">
        <v>0.5</v>
      </c>
      <c r="I220" s="2" cm="1">
        <f t="array" ref="I220">SPDAM(D220,E220,F220)</f>
        <v>5.2170310000000004</v>
      </c>
      <c r="J220" s="3" cm="1">
        <f t="array" ref="J220">SPDAM(D220,E220,H220)</f>
        <v>0.51316701949486188</v>
      </c>
      <c r="K220" s="2">
        <f t="shared" si="144"/>
        <v>3.5</v>
      </c>
      <c r="L220" s="3">
        <f t="shared" si="145"/>
        <v>0.5</v>
      </c>
      <c r="M220" s="13">
        <f t="shared" si="149"/>
        <v>755.21703100000002</v>
      </c>
      <c r="N220" s="11">
        <v>750</v>
      </c>
      <c r="R220" s="5" t="s">
        <v>18</v>
      </c>
      <c r="S220" s="1">
        <v>1</v>
      </c>
      <c r="T220" s="1">
        <v>1</v>
      </c>
      <c r="U220" s="1">
        <v>0</v>
      </c>
      <c r="V220" s="1">
        <v>1</v>
      </c>
      <c r="W220" s="1">
        <v>1</v>
      </c>
      <c r="X220" s="1">
        <f t="shared" si="146"/>
        <v>1</v>
      </c>
      <c r="Y220" s="1">
        <v>0</v>
      </c>
      <c r="Z220" s="2" cm="1">
        <f t="array" ref="Z220">SPDAM(U220,V220,W220)</f>
        <v>0</v>
      </c>
      <c r="AA220" s="3" cm="1">
        <f t="array" ref="AA220">SPDAM(U220,V220,Y220)</f>
        <v>0</v>
      </c>
      <c r="AB220" s="2">
        <f t="shared" si="147"/>
        <v>0</v>
      </c>
      <c r="AC220" s="3">
        <f t="shared" si="148"/>
        <v>0</v>
      </c>
      <c r="AD220" s="13">
        <f t="shared" si="150"/>
        <v>750</v>
      </c>
      <c r="AE220" s="11">
        <v>750</v>
      </c>
    </row>
    <row r="221" spans="1:31">
      <c r="A221" s="9" t="s">
        <v>28</v>
      </c>
      <c r="B221" s="10">
        <v>7950</v>
      </c>
      <c r="C221" s="10">
        <v>5</v>
      </c>
      <c r="D221" s="10"/>
      <c r="E221" s="10">
        <v>1.05</v>
      </c>
      <c r="F221" s="10">
        <v>1.1000000000000001</v>
      </c>
      <c r="G221" s="10">
        <v>1.05</v>
      </c>
      <c r="H221" s="10"/>
      <c r="I221" s="2"/>
      <c r="J221" s="3"/>
      <c r="K221" s="2"/>
      <c r="L221" s="3"/>
      <c r="M221" s="13"/>
      <c r="N221" s="11"/>
      <c r="R221" s="9" t="s">
        <v>28</v>
      </c>
      <c r="S221" s="10">
        <v>7100</v>
      </c>
      <c r="T221" s="10">
        <v>5</v>
      </c>
      <c r="U221" s="10"/>
      <c r="V221" s="10">
        <v>1.2</v>
      </c>
      <c r="W221" s="10">
        <v>1.05</v>
      </c>
      <c r="X221" s="10">
        <v>1</v>
      </c>
      <c r="Y221" s="10"/>
      <c r="Z221" s="2"/>
      <c r="AA221" s="3"/>
      <c r="AB221" s="2"/>
      <c r="AC221" s="3"/>
      <c r="AD221" s="13"/>
      <c r="AE221" s="11"/>
    </row>
    <row r="224" spans="1:31">
      <c r="A224" s="39" t="s">
        <v>85</v>
      </c>
      <c r="B224" s="4" t="s">
        <v>12</v>
      </c>
      <c r="C224" s="4" t="s">
        <v>2</v>
      </c>
      <c r="D224" s="4" t="s">
        <v>1</v>
      </c>
      <c r="E224" s="4" t="s">
        <v>3</v>
      </c>
      <c r="F224" s="4" t="s">
        <v>4</v>
      </c>
      <c r="G224" s="4" t="s">
        <v>8</v>
      </c>
      <c r="H224" s="4" t="s">
        <v>11</v>
      </c>
      <c r="I224" s="4" t="s">
        <v>9</v>
      </c>
      <c r="J224" s="4" t="s">
        <v>10</v>
      </c>
      <c r="K224" s="4" t="s">
        <v>19</v>
      </c>
      <c r="L224" s="4" t="s">
        <v>20</v>
      </c>
      <c r="M224" s="15" t="s">
        <v>9</v>
      </c>
      <c r="N224" s="14" t="s">
        <v>36</v>
      </c>
    </row>
    <row r="225" spans="1:15">
      <c r="A225" s="5" t="s">
        <v>5</v>
      </c>
      <c r="B225" s="1">
        <v>1</v>
      </c>
      <c r="C225" s="1">
        <v>1</v>
      </c>
      <c r="D225" s="1">
        <f>31*4</f>
        <v>124</v>
      </c>
      <c r="E225" s="1">
        <v>0.9</v>
      </c>
      <c r="F225" s="1">
        <v>3</v>
      </c>
      <c r="G225" s="1">
        <f t="shared" ref="G225:G233" si="151">MIN(B225/C225,F225)</f>
        <v>1</v>
      </c>
      <c r="H225" s="1">
        <v>0</v>
      </c>
      <c r="I225" s="2" cm="1">
        <f t="array" ref="I225">SPDAM(D225,E225,F225)</f>
        <v>336.03999999999996</v>
      </c>
      <c r="J225" s="3" cm="1">
        <f t="array" ref="J225">SPDAM(D225,E225,G225)</f>
        <v>124</v>
      </c>
      <c r="K225" s="2">
        <f t="shared" ref="K225:K233" si="152">F225*H225</f>
        <v>0</v>
      </c>
      <c r="L225" s="3">
        <f t="shared" ref="L225:L233" si="153">G225*H225</f>
        <v>0</v>
      </c>
      <c r="M225" s="13">
        <f>I225+N225</f>
        <v>336.03999999999996</v>
      </c>
      <c r="N225" s="11">
        <v>0</v>
      </c>
    </row>
    <row r="226" spans="1:15">
      <c r="A226" s="12" t="s">
        <v>6</v>
      </c>
      <c r="B226" s="1">
        <v>1</v>
      </c>
      <c r="C226" s="1">
        <v>1</v>
      </c>
      <c r="D226" s="1">
        <v>182</v>
      </c>
      <c r="E226" s="1">
        <v>0.95</v>
      </c>
      <c r="F226" s="1">
        <v>4</v>
      </c>
      <c r="G226" s="1">
        <f t="shared" si="151"/>
        <v>1</v>
      </c>
      <c r="H226" s="1">
        <f>0.05*3</f>
        <v>0.15000000000000002</v>
      </c>
      <c r="I226" s="2" cm="1">
        <f t="array" ref="I226">SPDAM(D226,E226,F226)</f>
        <v>675.19724999999971</v>
      </c>
      <c r="J226" s="3" cm="1">
        <f t="array" ref="J226">SPDAM(D226,E226,G226)</f>
        <v>182</v>
      </c>
      <c r="K226" s="2">
        <f t="shared" si="152"/>
        <v>0.60000000000000009</v>
      </c>
      <c r="L226" s="3">
        <f t="shared" si="153"/>
        <v>0.15000000000000002</v>
      </c>
      <c r="M226" s="13">
        <f t="shared" ref="M226:M233" si="154">I226+N226</f>
        <v>675.19724999999971</v>
      </c>
      <c r="N226" s="11">
        <v>0</v>
      </c>
    </row>
    <row r="227" spans="1:15">
      <c r="A227" s="5" t="s">
        <v>7</v>
      </c>
      <c r="B227" s="1">
        <v>1</v>
      </c>
      <c r="C227" s="1">
        <v>1</v>
      </c>
      <c r="D227" s="1">
        <f>48*2</f>
        <v>96</v>
      </c>
      <c r="E227" s="1">
        <v>0.8</v>
      </c>
      <c r="F227" s="1">
        <v>5</v>
      </c>
      <c r="G227" s="1">
        <f t="shared" si="151"/>
        <v>1</v>
      </c>
      <c r="H227" s="1">
        <f>0.05*2*3</f>
        <v>0.30000000000000004</v>
      </c>
      <c r="I227" s="2" cm="1">
        <f t="array" ref="I227">SPDAM(D227,E227,F227)</f>
        <v>322.71360000000004</v>
      </c>
      <c r="J227" s="3" cm="1">
        <f t="array" ref="J227">SPDAM(D227,E227,G227)</f>
        <v>96</v>
      </c>
      <c r="K227" s="2">
        <f t="shared" si="152"/>
        <v>1.5000000000000002</v>
      </c>
      <c r="L227" s="3">
        <f t="shared" si="153"/>
        <v>0.30000000000000004</v>
      </c>
      <c r="M227" s="13">
        <f t="shared" si="154"/>
        <v>597.71360000000004</v>
      </c>
      <c r="N227" s="11">
        <v>275</v>
      </c>
    </row>
    <row r="228" spans="1:15">
      <c r="A228" s="12" t="s">
        <v>13</v>
      </c>
      <c r="B228" s="1">
        <v>60</v>
      </c>
      <c r="C228" s="1">
        <v>20</v>
      </c>
      <c r="D228" s="1">
        <v>33</v>
      </c>
      <c r="E228" s="1">
        <v>0.95</v>
      </c>
      <c r="F228" s="1">
        <v>30</v>
      </c>
      <c r="G228" s="1">
        <f t="shared" si="151"/>
        <v>3</v>
      </c>
      <c r="H228" s="1">
        <v>15</v>
      </c>
      <c r="I228" s="2" cm="1">
        <f t="array" ref="I228">SPDAM(D228,E228,F228)</f>
        <v>518.3384157976609</v>
      </c>
      <c r="J228" s="3" cm="1">
        <f t="array" ref="J228">SPDAM(D228,E228,G228)</f>
        <v>94.13250000000005</v>
      </c>
      <c r="K228" s="2">
        <f t="shared" si="152"/>
        <v>450</v>
      </c>
      <c r="L228" s="3">
        <f t="shared" si="153"/>
        <v>45</v>
      </c>
      <c r="M228" s="13">
        <f t="shared" si="154"/>
        <v>928.3384157976609</v>
      </c>
      <c r="N228" s="11">
        <v>410</v>
      </c>
    </row>
    <row r="229" spans="1:15">
      <c r="A229" s="5" t="s">
        <v>14</v>
      </c>
      <c r="B229" s="1">
        <v>1</v>
      </c>
      <c r="C229" s="1">
        <v>1</v>
      </c>
      <c r="D229" s="1">
        <f>110*2</f>
        <v>220</v>
      </c>
      <c r="E229" s="1">
        <v>0.5</v>
      </c>
      <c r="F229" s="1">
        <v>4</v>
      </c>
      <c r="G229" s="1">
        <f t="shared" si="151"/>
        <v>1</v>
      </c>
      <c r="H229" s="1">
        <f>0.05*2</f>
        <v>0.1</v>
      </c>
      <c r="I229" s="2" cm="1">
        <f t="array" ref="I229">SPDAM(D229,E229,F229)</f>
        <v>412.5</v>
      </c>
      <c r="J229" s="3" cm="1">
        <f t="array" ref="J229">SPDAM(D229,E229,G229)</f>
        <v>220</v>
      </c>
      <c r="K229" s="2">
        <f t="shared" si="152"/>
        <v>0.4</v>
      </c>
      <c r="L229" s="3">
        <f t="shared" si="153"/>
        <v>0.1</v>
      </c>
      <c r="M229" s="13">
        <f t="shared" si="154"/>
        <v>412.5</v>
      </c>
      <c r="N229" s="11">
        <v>0</v>
      </c>
    </row>
    <row r="230" spans="1:15">
      <c r="A230" s="12" t="s">
        <v>15</v>
      </c>
      <c r="B230" s="1">
        <v>1</v>
      </c>
      <c r="C230" s="1">
        <v>1</v>
      </c>
      <c r="D230" s="1">
        <f>33*15</f>
        <v>495</v>
      </c>
      <c r="E230" s="1">
        <v>0.7</v>
      </c>
      <c r="F230" s="1">
        <v>2</v>
      </c>
      <c r="G230" s="1">
        <f t="shared" si="151"/>
        <v>1</v>
      </c>
      <c r="H230" s="1">
        <f>0.1*3.5*15</f>
        <v>5.2500000000000009</v>
      </c>
      <c r="I230" s="2" cm="1">
        <f t="array" ref="I230">SPDAM(D230,E230,F230)</f>
        <v>841.5</v>
      </c>
      <c r="J230" s="3" cm="1">
        <f t="array" ref="J230">SPDAM(D230,E230,G230)</f>
        <v>495</v>
      </c>
      <c r="K230" s="2">
        <f t="shared" ref="K230" si="155">F230*H230</f>
        <v>10.500000000000002</v>
      </c>
      <c r="L230" s="3">
        <f t="shared" ref="L230" si="156">G230*H230</f>
        <v>5.2500000000000009</v>
      </c>
      <c r="M230" s="13">
        <f t="shared" si="154"/>
        <v>841.5</v>
      </c>
      <c r="N230" s="11">
        <v>0</v>
      </c>
    </row>
    <row r="231" spans="1:15">
      <c r="A231" s="5" t="s">
        <v>16</v>
      </c>
      <c r="B231" s="1">
        <v>1</v>
      </c>
      <c r="C231" s="1">
        <v>1</v>
      </c>
      <c r="D231" s="1">
        <v>45</v>
      </c>
      <c r="E231" s="1">
        <v>1</v>
      </c>
      <c r="F231" s="1">
        <v>10</v>
      </c>
      <c r="G231" s="1">
        <f t="shared" si="151"/>
        <v>1</v>
      </c>
      <c r="H231" s="1">
        <f>0.3*3</f>
        <v>0.89999999999999991</v>
      </c>
      <c r="I231" s="2" cm="1">
        <f t="array" ref="I231">SPDAM(D231,E231,F231)</f>
        <v>450</v>
      </c>
      <c r="J231" s="3" cm="1">
        <f t="array" ref="J231">SPDAM(D231,E231,G231)</f>
        <v>45</v>
      </c>
      <c r="K231" s="2">
        <f t="shared" ref="K231:K234" si="157">F231*H231</f>
        <v>9</v>
      </c>
      <c r="L231" s="3">
        <f t="shared" si="153"/>
        <v>0.89999999999999991</v>
      </c>
      <c r="M231" s="13">
        <f t="shared" si="154"/>
        <v>1400</v>
      </c>
      <c r="N231" s="11">
        <f>550+400</f>
        <v>950</v>
      </c>
      <c r="O231" t="s">
        <v>86</v>
      </c>
    </row>
    <row r="232" spans="1:15">
      <c r="A232" s="5" t="s">
        <v>17</v>
      </c>
      <c r="B232" s="1">
        <v>1</v>
      </c>
      <c r="C232" s="1">
        <v>1</v>
      </c>
      <c r="D232" s="1">
        <v>214</v>
      </c>
      <c r="E232" s="1">
        <v>0.97</v>
      </c>
      <c r="F232" s="1">
        <v>8</v>
      </c>
      <c r="G232" s="1">
        <f t="shared" si="151"/>
        <v>1</v>
      </c>
      <c r="H232" s="1">
        <v>0</v>
      </c>
      <c r="I232" s="2" cm="1">
        <f t="array" ref="I232">SPDAM(D232,E232,F232)</f>
        <v>1542.6307026777677</v>
      </c>
      <c r="J232" s="3" cm="1">
        <f t="array" ref="J232">SPDAM(D232,E232,G232)</f>
        <v>214</v>
      </c>
      <c r="K232" s="2">
        <f t="shared" si="157"/>
        <v>0</v>
      </c>
      <c r="L232" s="3">
        <f t="shared" si="153"/>
        <v>0</v>
      </c>
      <c r="M232" s="13">
        <f t="shared" si="154"/>
        <v>2192.6307026777677</v>
      </c>
      <c r="N232" s="11">
        <v>650</v>
      </c>
    </row>
    <row r="233" spans="1:15">
      <c r="A233" s="5" t="s">
        <v>35</v>
      </c>
      <c r="B233" s="1">
        <v>1</v>
      </c>
      <c r="C233" s="1">
        <v>1</v>
      </c>
      <c r="D233" s="1">
        <v>1</v>
      </c>
      <c r="E233" s="1">
        <v>0.9</v>
      </c>
      <c r="F233" s="1">
        <v>7</v>
      </c>
      <c r="G233" s="1">
        <f t="shared" si="151"/>
        <v>1</v>
      </c>
      <c r="H233" s="1">
        <v>0.5</v>
      </c>
      <c r="I233" s="2" cm="1">
        <f t="array" ref="I233">SPDAM(D233,E233,F233)</f>
        <v>5.2170310000000004</v>
      </c>
      <c r="J233" s="3" cm="1">
        <f t="array" ref="J233">SPDAM(D233,E233,H233)</f>
        <v>0.51316701949486188</v>
      </c>
      <c r="K233" s="2">
        <f t="shared" si="157"/>
        <v>3.5</v>
      </c>
      <c r="L233" s="3">
        <f t="shared" si="153"/>
        <v>0.5</v>
      </c>
      <c r="M233" s="13">
        <f t="shared" si="154"/>
        <v>755.21703100000002</v>
      </c>
      <c r="N233" s="11">
        <v>750</v>
      </c>
    </row>
    <row r="234" spans="1:15">
      <c r="A234" s="9" t="s">
        <v>28</v>
      </c>
      <c r="B234" s="10">
        <v>7214</v>
      </c>
      <c r="C234" s="10">
        <v>5</v>
      </c>
      <c r="D234" s="10"/>
      <c r="E234" s="10">
        <v>1.05</v>
      </c>
      <c r="F234" s="10">
        <v>1.05</v>
      </c>
      <c r="G234" s="10">
        <v>1.05</v>
      </c>
      <c r="H234" s="10"/>
      <c r="I234" s="2"/>
      <c r="J234" s="3"/>
      <c r="K234" s="2"/>
      <c r="L234" s="3"/>
      <c r="M234" s="13"/>
      <c r="N234" s="11"/>
    </row>
  </sheetData>
  <phoneticPr fontId="2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rureron</dc:creator>
  <cp:lastModifiedBy>勇大 髙橋</cp:lastModifiedBy>
  <dcterms:created xsi:type="dcterms:W3CDTF">2015-06-05T18:19:34Z</dcterms:created>
  <dcterms:modified xsi:type="dcterms:W3CDTF">2023-10-29T12:21:57Z</dcterms:modified>
</cp:coreProperties>
</file>