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source\Caravan\Caravan\bin\Debug\texts\"/>
    </mc:Choice>
  </mc:AlternateContent>
  <xr:revisionPtr revIDLastSave="0" documentId="13_ncr:1_{99D9BC59-85BD-4F6E-8694-4A6496263C5F}" xr6:coauthVersionLast="47" xr6:coauthVersionMax="47" xr10:uidLastSave="{00000000-0000-0000-0000-000000000000}"/>
  <bookViews>
    <workbookView xWindow="10600" yWindow="2140" windowWidth="14840" windowHeight="138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62" i="1" l="1"/>
  <c r="X62" i="1"/>
  <c r="AC62" i="1" s="1"/>
  <c r="AB61" i="1"/>
  <c r="X61" i="1"/>
  <c r="AC61" i="1" s="1"/>
  <c r="AB60" i="1"/>
  <c r="X60" i="1"/>
  <c r="AC60" i="1" s="1"/>
  <c r="AB59" i="1"/>
  <c r="X59" i="1"/>
  <c r="AC59" i="1" s="1"/>
  <c r="AB58" i="1"/>
  <c r="X58" i="1"/>
  <c r="AC58" i="1" s="1"/>
  <c r="AB57" i="1"/>
  <c r="X57" i="1"/>
  <c r="AC57" i="1" s="1"/>
  <c r="AB56" i="1"/>
  <c r="X56" i="1"/>
  <c r="AC56" i="1" s="1"/>
  <c r="AB55" i="1"/>
  <c r="X55" i="1"/>
  <c r="AC55" i="1" s="1"/>
  <c r="AB54" i="1"/>
  <c r="X54" i="1"/>
  <c r="AC54" i="1" s="1"/>
  <c r="K62" i="1"/>
  <c r="G75" i="1"/>
  <c r="L75" i="1" s="1"/>
  <c r="G62" i="1"/>
  <c r="L62" i="1" s="1"/>
  <c r="H67" i="1"/>
  <c r="K67" i="1" s="1"/>
  <c r="F58" i="1"/>
  <c r="K58" i="1" s="1"/>
  <c r="K75" i="1"/>
  <c r="K74" i="1"/>
  <c r="G74" i="1"/>
  <c r="L74" i="1" s="1"/>
  <c r="K73" i="1"/>
  <c r="G73" i="1"/>
  <c r="L73" i="1" s="1"/>
  <c r="K72" i="1"/>
  <c r="G72" i="1"/>
  <c r="L72" i="1" s="1"/>
  <c r="K71" i="1"/>
  <c r="G71" i="1"/>
  <c r="L71" i="1" s="1"/>
  <c r="K70" i="1"/>
  <c r="G70" i="1"/>
  <c r="L70" i="1" s="1"/>
  <c r="K69" i="1"/>
  <c r="G69" i="1"/>
  <c r="L69" i="1" s="1"/>
  <c r="K68" i="1"/>
  <c r="G68" i="1"/>
  <c r="L68" i="1" s="1"/>
  <c r="G67" i="1"/>
  <c r="K61" i="1"/>
  <c r="G61" i="1"/>
  <c r="L61" i="1" s="1"/>
  <c r="K60" i="1"/>
  <c r="G60" i="1"/>
  <c r="L60" i="1" s="1"/>
  <c r="K59" i="1"/>
  <c r="G59" i="1"/>
  <c r="L59" i="1" s="1"/>
  <c r="K57" i="1"/>
  <c r="G57" i="1"/>
  <c r="L57" i="1" s="1"/>
  <c r="K56" i="1"/>
  <c r="G56" i="1"/>
  <c r="L56" i="1" s="1"/>
  <c r="K55" i="1"/>
  <c r="G55" i="1"/>
  <c r="L55" i="1" s="1"/>
  <c r="K54" i="1"/>
  <c r="G54" i="1"/>
  <c r="L54" i="1" s="1"/>
  <c r="AB48" i="1"/>
  <c r="X51" i="1"/>
  <c r="X2" i="1"/>
  <c r="X3" i="1"/>
  <c r="X4" i="1"/>
  <c r="K49" i="1"/>
  <c r="G49" i="1"/>
  <c r="L49" i="1" s="1"/>
  <c r="G48" i="1"/>
  <c r="L48" i="1" s="1"/>
  <c r="K47" i="1"/>
  <c r="K46" i="1"/>
  <c r="D47" i="1"/>
  <c r="D46" i="1"/>
  <c r="G46" i="1"/>
  <c r="L44" i="1"/>
  <c r="N44" i="1" s="1"/>
  <c r="K42" i="1"/>
  <c r="K44" i="1"/>
  <c r="M44" i="1" s="1"/>
  <c r="S35" i="1"/>
  <c r="AC34" i="1"/>
  <c r="Y33" i="1"/>
  <c r="U33" i="1"/>
  <c r="Z49" i="1" a="1"/>
  <c r="AB49" i="1" a="1"/>
  <c r="AA62" i="1" a="1"/>
  <c r="Z60" i="1" a="1"/>
  <c r="J72" i="1" a="1"/>
  <c r="J74" i="1" a="1"/>
  <c r="J71" i="1" a="1"/>
  <c r="J55" i="1" a="1"/>
  <c r="K45" i="1" a="1"/>
  <c r="J69" i="1" a="1"/>
  <c r="I69" i="1" a="1"/>
  <c r="J49" i="1" a="1"/>
  <c r="J73" i="1" a="1"/>
  <c r="I56" i="1" a="1"/>
  <c r="AA54" i="1" a="1"/>
  <c r="I73" i="1" a="1"/>
  <c r="I48" i="1" a="1"/>
  <c r="I67" i="1" a="1"/>
  <c r="I60" i="1" a="1"/>
  <c r="J48" i="1" a="1"/>
  <c r="J70" i="1" a="1"/>
  <c r="AA51" i="1" a="1"/>
  <c r="AA59" i="1" a="1"/>
  <c r="Z54" i="1" a="1"/>
  <c r="Z59" i="1" a="1"/>
  <c r="I70" i="1" a="1"/>
  <c r="I72" i="1" a="1"/>
  <c r="J60" i="1" a="1"/>
  <c r="J56" i="1" a="1"/>
  <c r="Z51" i="1" a="1"/>
  <c r="Z31" i="1" a="1"/>
  <c r="I75" i="1" a="1"/>
  <c r="J61" i="1" a="1"/>
  <c r="AA55" i="1" a="1"/>
  <c r="J75" i="1" a="1"/>
  <c r="I49" i="1" a="1"/>
  <c r="I71" i="1" a="1"/>
  <c r="I57" i="1" a="1"/>
  <c r="J54" i="1" a="1"/>
  <c r="AC49" i="1" a="1"/>
  <c r="Z61" i="1" a="1"/>
  <c r="I68" i="1" a="1"/>
  <c r="K48" i="1" a="1"/>
  <c r="Z56" i="1" a="1"/>
  <c r="AA57" i="1" a="1"/>
  <c r="Z58" i="1" a="1"/>
  <c r="I74" i="1" a="1"/>
  <c r="J68" i="1" a="1"/>
  <c r="J59" i="1" a="1"/>
  <c r="J57" i="1" a="1"/>
  <c r="Z4" i="1" a="1"/>
  <c r="AA56" i="1" a="1"/>
  <c r="I55" i="1" a="1"/>
  <c r="I62" i="1" a="1"/>
  <c r="I59" i="1" a="1"/>
  <c r="I58" i="1" a="1"/>
  <c r="J62" i="1" a="1"/>
  <c r="Z62" i="1" a="1"/>
  <c r="J67" i="1" a="1"/>
  <c r="I54" i="1" a="1"/>
  <c r="I61" i="1" a="1"/>
  <c r="AA60" i="1" a="1"/>
  <c r="AA58" i="1" a="1"/>
  <c r="AA61" i="1" a="1"/>
  <c r="Z57" i="1" a="1"/>
  <c r="Z55" i="1" a="1"/>
  <c r="Z49" i="1" l="1"/>
  <c r="AB49" i="1"/>
  <c r="G58" i="1"/>
  <c r="Z58" i="1"/>
  <c r="AD58" i="1" s="1"/>
  <c r="Z59" i="1"/>
  <c r="AD59" i="1" s="1"/>
  <c r="Z60" i="1"/>
  <c r="AD60" i="1" s="1"/>
  <c r="Z61" i="1"/>
  <c r="AD61" i="1" s="1"/>
  <c r="Z62" i="1"/>
  <c r="AD62" i="1" s="1"/>
  <c r="AA54" i="1"/>
  <c r="AA55" i="1"/>
  <c r="AA56" i="1"/>
  <c r="AA57" i="1"/>
  <c r="Z54" i="1"/>
  <c r="AD54" i="1" s="1"/>
  <c r="AA62" i="1"/>
  <c r="Z55" i="1"/>
  <c r="AD55" i="1" s="1"/>
  <c r="Z57" i="1"/>
  <c r="AD57" i="1" s="1"/>
  <c r="AA61" i="1"/>
  <c r="AA58" i="1"/>
  <c r="AA60" i="1"/>
  <c r="Z56" i="1"/>
  <c r="AD56" i="1" s="1"/>
  <c r="AA59" i="1"/>
  <c r="I75" i="1"/>
  <c r="M75" i="1" s="1"/>
  <c r="O75" i="1" s="1"/>
  <c r="I62" i="1"/>
  <c r="M62" i="1" s="1"/>
  <c r="L67" i="1"/>
  <c r="I58" i="1"/>
  <c r="M58" i="1" s="1"/>
  <c r="I54" i="1"/>
  <c r="M54" i="1" s="1"/>
  <c r="J54" i="1"/>
  <c r="J71" i="1"/>
  <c r="N71" i="1" s="1"/>
  <c r="I68" i="1"/>
  <c r="M68" i="1" s="1"/>
  <c r="O68" i="1" s="1"/>
  <c r="J67" i="1"/>
  <c r="I73" i="1"/>
  <c r="M73" i="1" s="1"/>
  <c r="O73" i="1" s="1"/>
  <c r="J75" i="1"/>
  <c r="N75" i="1" s="1"/>
  <c r="I69" i="1"/>
  <c r="M69" i="1" s="1"/>
  <c r="O69" i="1" s="1"/>
  <c r="J68" i="1"/>
  <c r="N68" i="1" s="1"/>
  <c r="I72" i="1"/>
  <c r="M72" i="1" s="1"/>
  <c r="O72" i="1" s="1"/>
  <c r="J74" i="1"/>
  <c r="N74" i="1" s="1"/>
  <c r="J70" i="1"/>
  <c r="N70" i="1" s="1"/>
  <c r="I67" i="1"/>
  <c r="M67" i="1" s="1"/>
  <c r="O67" i="1" s="1"/>
  <c r="I71" i="1"/>
  <c r="M71" i="1" s="1"/>
  <c r="O71" i="1" s="1"/>
  <c r="J73" i="1"/>
  <c r="N73" i="1" s="1"/>
  <c r="J69" i="1"/>
  <c r="N69" i="1" s="1"/>
  <c r="I74" i="1"/>
  <c r="M74" i="1" s="1"/>
  <c r="O74" i="1" s="1"/>
  <c r="I70" i="1"/>
  <c r="M70" i="1" s="1"/>
  <c r="O70" i="1" s="1"/>
  <c r="J72" i="1"/>
  <c r="N72" i="1" s="1"/>
  <c r="I57" i="1"/>
  <c r="M57" i="1" s="1"/>
  <c r="I56" i="1"/>
  <c r="M56" i="1" s="1"/>
  <c r="I55" i="1"/>
  <c r="M55" i="1" s="1"/>
  <c r="J57" i="1"/>
  <c r="J56" i="1"/>
  <c r="J55" i="1"/>
  <c r="I61" i="1"/>
  <c r="M61" i="1" s="1"/>
  <c r="I60" i="1"/>
  <c r="M60" i="1" s="1"/>
  <c r="J62" i="1"/>
  <c r="I59" i="1"/>
  <c r="M59" i="1" s="1"/>
  <c r="J61" i="1"/>
  <c r="J59" i="1"/>
  <c r="J60" i="1"/>
  <c r="AC49" i="1"/>
  <c r="AA51" i="1"/>
  <c r="Z51" i="1"/>
  <c r="Z4" i="1"/>
  <c r="I49" i="1"/>
  <c r="M49" i="1" s="1"/>
  <c r="J49" i="1"/>
  <c r="N49" i="1" s="1"/>
  <c r="K48" i="1"/>
  <c r="J48" i="1"/>
  <c r="N48" i="1" s="1"/>
  <c r="I48" i="1"/>
  <c r="K45" i="1"/>
  <c r="Z31" i="1"/>
  <c r="G33" i="1"/>
  <c r="L33" i="1" s="1"/>
  <c r="H31" i="1"/>
  <c r="K31" i="1" s="1"/>
  <c r="D31" i="1"/>
  <c r="G47" i="1"/>
  <c r="L47" i="1" s="1"/>
  <c r="L46" i="1"/>
  <c r="G45" i="1"/>
  <c r="L45" i="1" s="1"/>
  <c r="G44" i="1"/>
  <c r="K43" i="1"/>
  <c r="G43" i="1"/>
  <c r="L43" i="1" s="1"/>
  <c r="G42" i="1"/>
  <c r="L42" i="1" s="1"/>
  <c r="K41" i="1"/>
  <c r="G41" i="1"/>
  <c r="L41" i="1" s="1"/>
  <c r="X49" i="1"/>
  <c r="X48" i="1"/>
  <c r="AC48" i="1" s="1"/>
  <c r="AB47" i="1"/>
  <c r="X47" i="1"/>
  <c r="AC47" i="1" s="1"/>
  <c r="AB46" i="1"/>
  <c r="X46" i="1"/>
  <c r="AC46" i="1" s="1"/>
  <c r="AB45" i="1"/>
  <c r="X45" i="1"/>
  <c r="AC45" i="1" s="1"/>
  <c r="AB44" i="1"/>
  <c r="X44" i="1"/>
  <c r="AC44" i="1" s="1"/>
  <c r="AB43" i="1"/>
  <c r="X43" i="1"/>
  <c r="AC43" i="1" s="1"/>
  <c r="AB42" i="1"/>
  <c r="X42" i="1"/>
  <c r="AC42" i="1" s="1"/>
  <c r="AB41" i="1"/>
  <c r="X41" i="1"/>
  <c r="AC41" i="1" s="1"/>
  <c r="AB36" i="1"/>
  <c r="X36" i="1"/>
  <c r="AC36" i="1" s="1"/>
  <c r="AB35" i="1"/>
  <c r="X35" i="1"/>
  <c r="AC35" i="1" s="1"/>
  <c r="AB34" i="1"/>
  <c r="X34" i="1"/>
  <c r="AB33" i="1"/>
  <c r="X33" i="1"/>
  <c r="AC33" i="1" s="1"/>
  <c r="AB32" i="1"/>
  <c r="X32" i="1"/>
  <c r="AC32" i="1" s="1"/>
  <c r="X31" i="1"/>
  <c r="AB30" i="1"/>
  <c r="X30" i="1"/>
  <c r="AC30" i="1" s="1"/>
  <c r="AB29" i="1"/>
  <c r="X29" i="1"/>
  <c r="AC29" i="1" s="1"/>
  <c r="AB28" i="1"/>
  <c r="X28" i="1"/>
  <c r="AC28" i="1" s="1"/>
  <c r="K36" i="1"/>
  <c r="G36" i="1"/>
  <c r="L36" i="1" s="1"/>
  <c r="K35" i="1"/>
  <c r="G35" i="1"/>
  <c r="L35" i="1" s="1"/>
  <c r="K34" i="1"/>
  <c r="G34" i="1"/>
  <c r="L34" i="1" s="1"/>
  <c r="K33" i="1"/>
  <c r="K32" i="1"/>
  <c r="G32" i="1"/>
  <c r="L32" i="1" s="1"/>
  <c r="G31" i="1"/>
  <c r="K30" i="1"/>
  <c r="G30" i="1"/>
  <c r="L30" i="1" s="1"/>
  <c r="K29" i="1"/>
  <c r="G29" i="1"/>
  <c r="L29" i="1" s="1"/>
  <c r="K28" i="1"/>
  <c r="G28" i="1"/>
  <c r="L28" i="1" s="1"/>
  <c r="W23" i="1"/>
  <c r="AB23" i="1" s="1"/>
  <c r="U22" i="1"/>
  <c r="G23" i="1"/>
  <c r="G22" i="1"/>
  <c r="L22" i="1" s="1"/>
  <c r="G21" i="1"/>
  <c r="G20" i="1"/>
  <c r="L20" i="1" s="1"/>
  <c r="G19" i="1"/>
  <c r="L19" i="1" s="1"/>
  <c r="G18" i="1"/>
  <c r="G17" i="1"/>
  <c r="L17" i="1" s="1"/>
  <c r="G16" i="1"/>
  <c r="L16" i="1" s="1"/>
  <c r="G15" i="1"/>
  <c r="G10" i="1"/>
  <c r="L10" i="1" s="1"/>
  <c r="G9" i="1"/>
  <c r="L9" i="1" s="1"/>
  <c r="G8" i="1"/>
  <c r="L8" i="1" s="1"/>
  <c r="G7" i="1"/>
  <c r="L7" i="1" s="1"/>
  <c r="G6" i="1"/>
  <c r="G5" i="1"/>
  <c r="L5" i="1" s="1"/>
  <c r="G4" i="1"/>
  <c r="L4" i="1" s="1"/>
  <c r="G3" i="1"/>
  <c r="G2" i="1"/>
  <c r="L2" i="1" s="1"/>
  <c r="X10" i="1"/>
  <c r="X9" i="1"/>
  <c r="AC9" i="1" s="1"/>
  <c r="X8" i="1"/>
  <c r="AC8" i="1" s="1"/>
  <c r="X7" i="1"/>
  <c r="AC7" i="1" s="1"/>
  <c r="X6" i="1"/>
  <c r="AC6" i="1" s="1"/>
  <c r="X5" i="1"/>
  <c r="AC5" i="1" s="1"/>
  <c r="AC3" i="1"/>
  <c r="AC2" i="1"/>
  <c r="X22" i="1"/>
  <c r="AC22" i="1" s="1"/>
  <c r="X21" i="1"/>
  <c r="AC21" i="1" s="1"/>
  <c r="X20" i="1"/>
  <c r="AC20" i="1" s="1"/>
  <c r="X19" i="1"/>
  <c r="AC19" i="1" s="1"/>
  <c r="X18" i="1"/>
  <c r="AC18" i="1" s="1"/>
  <c r="X15" i="1"/>
  <c r="AC15" i="1" s="1"/>
  <c r="X16" i="1"/>
  <c r="AC16" i="1" s="1"/>
  <c r="X17" i="1"/>
  <c r="AC17" i="1" s="1"/>
  <c r="AB22" i="1"/>
  <c r="AB21" i="1"/>
  <c r="AB20" i="1"/>
  <c r="AB19" i="1"/>
  <c r="AB18" i="1"/>
  <c r="AB17" i="1"/>
  <c r="AB16" i="1"/>
  <c r="AB15" i="1"/>
  <c r="AB10" i="1"/>
  <c r="AC10" i="1"/>
  <c r="AB9" i="1"/>
  <c r="AB8" i="1"/>
  <c r="AB7" i="1"/>
  <c r="AB6" i="1"/>
  <c r="AB5" i="1"/>
  <c r="AB4" i="1"/>
  <c r="AC4" i="1"/>
  <c r="AB3" i="1"/>
  <c r="AB2" i="1"/>
  <c r="K23" i="1"/>
  <c r="L23" i="1"/>
  <c r="K22" i="1"/>
  <c r="K21" i="1"/>
  <c r="L21" i="1"/>
  <c r="K20" i="1"/>
  <c r="K19" i="1"/>
  <c r="K18" i="1"/>
  <c r="L18" i="1"/>
  <c r="K17" i="1"/>
  <c r="K16" i="1"/>
  <c r="K15" i="1"/>
  <c r="L15" i="1"/>
  <c r="K6" i="1"/>
  <c r="K10" i="1"/>
  <c r="K9" i="1"/>
  <c r="K8" i="1"/>
  <c r="K7" i="1"/>
  <c r="K5" i="1"/>
  <c r="K4" i="1"/>
  <c r="L3" i="1"/>
  <c r="K3" i="1"/>
  <c r="K2" i="1"/>
  <c r="J46" i="1" a="1"/>
  <c r="J41" i="1" a="1"/>
  <c r="AA45" i="1" a="1"/>
  <c r="AA33" i="1" a="1"/>
  <c r="Z29" i="1" a="1"/>
  <c r="J33" i="1" a="1"/>
  <c r="J36" i="1" a="1"/>
  <c r="I29" i="1" a="1"/>
  <c r="AA16" i="1" a="1"/>
  <c r="AA19" i="1" a="1"/>
  <c r="AA5" i="1" a="1"/>
  <c r="Z10" i="1" a="1"/>
  <c r="I19" i="1" a="1"/>
  <c r="I22" i="1" a="1"/>
  <c r="I9" i="1" a="1"/>
  <c r="J5" i="1" a="1"/>
  <c r="AA41" i="1" a="1"/>
  <c r="Z22" i="1" a="1"/>
  <c r="I6" i="1" a="1"/>
  <c r="I44" i="1" a="1"/>
  <c r="I42" i="1" a="1"/>
  <c r="Z48" i="1" a="1"/>
  <c r="AA34" i="1" a="1"/>
  <c r="Z35" i="1" a="1"/>
  <c r="I31" i="1" a="1"/>
  <c r="I34" i="1" a="1"/>
  <c r="J32" i="1" a="1"/>
  <c r="Z23" i="1" a="1"/>
  <c r="Z17" i="1" a="1"/>
  <c r="AA6" i="1" a="1"/>
  <c r="AA4" i="1" a="1"/>
  <c r="J22" i="1" a="1"/>
  <c r="J16" i="1" a="1"/>
  <c r="J9" i="1" a="1"/>
  <c r="I5" i="1" a="1"/>
  <c r="J4" i="1" a="1"/>
  <c r="AA28" i="1" a="1"/>
  <c r="Z18" i="1" a="1"/>
  <c r="I2" i="1" a="1"/>
  <c r="I41" i="1" a="1"/>
  <c r="J42" i="1" a="1"/>
  <c r="Z45" i="1" a="1"/>
  <c r="AA42" i="1" a="1"/>
  <c r="Z32" i="1" a="1"/>
  <c r="AA29" i="1" a="1"/>
  <c r="J34" i="1" a="1"/>
  <c r="J28" i="1" a="1"/>
  <c r="AA21" i="1" a="1"/>
  <c r="AA17" i="1" a="1"/>
  <c r="AA20" i="1" a="1"/>
  <c r="AA9" i="1" a="1"/>
  <c r="Z2" i="1" a="1"/>
  <c r="I20" i="1" a="1"/>
  <c r="I23" i="1" a="1"/>
  <c r="I8" i="1" a="1"/>
  <c r="Z42" i="1" a="1"/>
  <c r="AA3" i="1" a="1"/>
  <c r="J47" i="1" a="1"/>
  <c r="J43" i="1" a="1"/>
  <c r="AA48" i="1" a="1"/>
  <c r="AA35" i="1" a="1"/>
  <c r="Z36" i="1" a="1"/>
  <c r="I32" i="1" a="1"/>
  <c r="I36" i="1" a="1"/>
  <c r="Z19" i="1" a="1"/>
  <c r="Z15" i="1" a="1"/>
  <c r="AA7" i="1" a="1"/>
  <c r="Z7" i="1" a="1"/>
  <c r="Z3" i="1" a="1"/>
  <c r="I17" i="1" a="1"/>
  <c r="I15" i="1" a="1"/>
  <c r="J8" i="1" a="1"/>
  <c r="I4" i="1" a="1"/>
  <c r="AA31" i="1" a="1"/>
  <c r="I35" i="1" a="1"/>
  <c r="J17" i="1" a="1"/>
  <c r="I45" i="1" a="1"/>
  <c r="J44" i="1" a="1"/>
  <c r="Z46" i="1" a="1"/>
  <c r="Z33" i="1" a="1"/>
  <c r="AA30" i="1" a="1"/>
  <c r="J29" i="1" a="1"/>
  <c r="J30" i="1" a="1"/>
  <c r="AA22" i="1" a="1"/>
  <c r="AA15" i="1" a="1"/>
  <c r="Z5" i="1" a="1"/>
  <c r="AA10" i="1" a="1"/>
  <c r="J20" i="1" a="1"/>
  <c r="J23" i="1" a="1"/>
  <c r="I16" i="1" a="1"/>
  <c r="J7" i="1" a="1"/>
  <c r="J3" i="1" a="1"/>
  <c r="I47" i="1" a="1"/>
  <c r="J31" i="1" a="1"/>
  <c r="J10" i="1" a="1"/>
  <c r="J45" i="1" a="1"/>
  <c r="I43" i="1" a="1"/>
  <c r="AA49" i="1" a="1"/>
  <c r="Z41" i="1" a="1"/>
  <c r="AA36" i="1" a="1"/>
  <c r="Z28" i="1" a="1"/>
  <c r="J35" i="1" a="1"/>
  <c r="I28" i="1" a="1"/>
  <c r="Z20" i="1" a="1"/>
  <c r="AA18" i="1" a="1"/>
  <c r="Z9" i="1" a="1"/>
  <c r="Z8" i="1" a="1"/>
  <c r="I18" i="1" a="1"/>
  <c r="I21" i="1" a="1"/>
  <c r="J19" i="1" a="1"/>
  <c r="I7" i="1" a="1"/>
  <c r="I3" i="1" a="1"/>
  <c r="Z44" i="1" a="1"/>
  <c r="Z6" i="1" a="1"/>
  <c r="J58" i="1" a="1"/>
  <c r="I46" i="1" a="1"/>
  <c r="AA46" i="1" a="1"/>
  <c r="AA44" i="1" a="1"/>
  <c r="Z34" i="1" a="1"/>
  <c r="AA32" i="1" a="1"/>
  <c r="I33" i="1" a="1"/>
  <c r="I30" i="1" a="1"/>
  <c r="Z21" i="1" a="1"/>
  <c r="Z16" i="1" a="1"/>
  <c r="AA8" i="1" a="1"/>
  <c r="AA2" i="1" a="1"/>
  <c r="J18" i="1" a="1"/>
  <c r="J15" i="1" a="1"/>
  <c r="I10" i="1" a="1"/>
  <c r="J6" i="1" a="1"/>
  <c r="J2" i="1" a="1"/>
  <c r="Z30" i="1" a="1"/>
  <c r="J21" i="1" a="1"/>
  <c r="Z43" i="1" a="1"/>
  <c r="AA43" i="1" a="1"/>
  <c r="Z47" i="1" a="1"/>
  <c r="AA47" i="1" a="1"/>
  <c r="J58" i="1" l="1"/>
  <c r="N67" i="1"/>
  <c r="L58" i="1"/>
  <c r="M48" i="1"/>
  <c r="AA31" i="1"/>
  <c r="AC31" i="1"/>
  <c r="AB31" i="1" s="1"/>
  <c r="X23" i="1"/>
  <c r="L31" i="1"/>
  <c r="I43" i="1"/>
  <c r="M43" i="1" s="1"/>
  <c r="J44" i="1"/>
  <c r="J43" i="1"/>
  <c r="N43" i="1" s="1"/>
  <c r="J42" i="1"/>
  <c r="N42" i="1" s="1"/>
  <c r="I42" i="1"/>
  <c r="M42" i="1" s="1"/>
  <c r="J41" i="1"/>
  <c r="N41" i="1" s="1"/>
  <c r="I47" i="1"/>
  <c r="I46" i="1"/>
  <c r="J45" i="1"/>
  <c r="N45" i="1" s="1"/>
  <c r="I45" i="1"/>
  <c r="M45" i="1" s="1"/>
  <c r="J47" i="1"/>
  <c r="I41" i="1"/>
  <c r="M41" i="1" s="1"/>
  <c r="I44" i="1"/>
  <c r="J46" i="1"/>
  <c r="Z42" i="1"/>
  <c r="AA44" i="1"/>
  <c r="Z41" i="1"/>
  <c r="AA43" i="1"/>
  <c r="AD49" i="1"/>
  <c r="AA42" i="1"/>
  <c r="Z48" i="1"/>
  <c r="AA45" i="1"/>
  <c r="AA41" i="1"/>
  <c r="Z47" i="1"/>
  <c r="AA49" i="1"/>
  <c r="AE49" i="1" s="1"/>
  <c r="Z46" i="1"/>
  <c r="AA48" i="1"/>
  <c r="Z45" i="1"/>
  <c r="AA47" i="1"/>
  <c r="Z43" i="1"/>
  <c r="Z44" i="1"/>
  <c r="AA46" i="1"/>
  <c r="Z30" i="1"/>
  <c r="AA32" i="1"/>
  <c r="AE32" i="1" s="1"/>
  <c r="Z28" i="1"/>
  <c r="AD28" i="1" s="1"/>
  <c r="AA30" i="1"/>
  <c r="Z36" i="1"/>
  <c r="AD36" i="1" s="1"/>
  <c r="AA29" i="1"/>
  <c r="AE29" i="1" s="1"/>
  <c r="Z35" i="1"/>
  <c r="AD35" i="1" s="1"/>
  <c r="Z29" i="1"/>
  <c r="AD29" i="1" s="1"/>
  <c r="AA28" i="1"/>
  <c r="AE28" i="1" s="1"/>
  <c r="Z34" i="1"/>
  <c r="AD34" i="1" s="1"/>
  <c r="AA36" i="1"/>
  <c r="AE36" i="1" s="1"/>
  <c r="Z33" i="1"/>
  <c r="AD33" i="1" s="1"/>
  <c r="AA35" i="1"/>
  <c r="AE35" i="1" s="1"/>
  <c r="Z32" i="1"/>
  <c r="AD32" i="1" s="1"/>
  <c r="AA34" i="1"/>
  <c r="AE34" i="1" s="1"/>
  <c r="AA33" i="1"/>
  <c r="AE33" i="1" s="1"/>
  <c r="J32" i="1"/>
  <c r="I29" i="1"/>
  <c r="J31" i="1"/>
  <c r="I30" i="1"/>
  <c r="I28" i="1"/>
  <c r="J30" i="1"/>
  <c r="I36" i="1"/>
  <c r="J28" i="1"/>
  <c r="I34" i="1"/>
  <c r="J36" i="1"/>
  <c r="I35" i="1"/>
  <c r="I33" i="1"/>
  <c r="J35" i="1"/>
  <c r="J29" i="1"/>
  <c r="I32" i="1"/>
  <c r="J34" i="1"/>
  <c r="I31" i="1"/>
  <c r="J33" i="1"/>
  <c r="AA20" i="1"/>
  <c r="Z17" i="1"/>
  <c r="AA19" i="1"/>
  <c r="Z18" i="1"/>
  <c r="Z16" i="1"/>
  <c r="AA18" i="1"/>
  <c r="AA15" i="1"/>
  <c r="Z15" i="1"/>
  <c r="AA17" i="1"/>
  <c r="Z23" i="1"/>
  <c r="AA16" i="1"/>
  <c r="Z22" i="1"/>
  <c r="Z21" i="1"/>
  <c r="Z20" i="1"/>
  <c r="AA22" i="1"/>
  <c r="Z19" i="1"/>
  <c r="AA21" i="1"/>
  <c r="Z3" i="1"/>
  <c r="Z2" i="1"/>
  <c r="AA4" i="1"/>
  <c r="Z10" i="1"/>
  <c r="AA3" i="1"/>
  <c r="AA2" i="1"/>
  <c r="Z8" i="1"/>
  <c r="AA10" i="1"/>
  <c r="Z7" i="1"/>
  <c r="AA9" i="1"/>
  <c r="AA6" i="1"/>
  <c r="AE6" i="1" s="1"/>
  <c r="AA5" i="1"/>
  <c r="Z6" i="1"/>
  <c r="AD6" i="1" s="1"/>
  <c r="AA8" i="1"/>
  <c r="Z9" i="1"/>
  <c r="Z5" i="1"/>
  <c r="AA7" i="1"/>
  <c r="J19" i="1"/>
  <c r="I16" i="1"/>
  <c r="I15" i="1"/>
  <c r="I23" i="1"/>
  <c r="J16" i="1"/>
  <c r="I22" i="1"/>
  <c r="J17" i="1"/>
  <c r="J15" i="1"/>
  <c r="I21" i="1"/>
  <c r="J23" i="1"/>
  <c r="I17" i="1"/>
  <c r="I20" i="1"/>
  <c r="J22" i="1"/>
  <c r="I19" i="1"/>
  <c r="J21" i="1"/>
  <c r="J18" i="1"/>
  <c r="I18" i="1"/>
  <c r="J20" i="1"/>
  <c r="L6" i="1"/>
  <c r="J10" i="1"/>
  <c r="I10" i="1"/>
  <c r="J9" i="1"/>
  <c r="I9" i="1"/>
  <c r="J8" i="1"/>
  <c r="I8" i="1"/>
  <c r="I7" i="1"/>
  <c r="J7" i="1"/>
  <c r="I6" i="1"/>
  <c r="J6" i="1"/>
  <c r="I5" i="1"/>
  <c r="J5" i="1"/>
  <c r="I4" i="1"/>
  <c r="J4" i="1"/>
  <c r="I3" i="1"/>
  <c r="J3" i="1"/>
  <c r="J2" i="1"/>
  <c r="I2" i="1"/>
  <c r="AA23" i="1" a="1"/>
  <c r="AA23" i="1" l="1"/>
  <c r="AC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<sst xmlns="http://schemas.openxmlformats.org/spreadsheetml/2006/main" count="252" uniqueCount="39">
  <si>
    <t>yoshino</t>
    <phoneticPr fontId="2"/>
  </si>
  <si>
    <t>dam</t>
    <phoneticPr fontId="2"/>
  </si>
  <si>
    <t>cool</t>
    <phoneticPr fontId="2"/>
  </si>
  <si>
    <t>bai</t>
    <phoneticPr fontId="2"/>
  </si>
  <si>
    <t>kaisu</t>
    <phoneticPr fontId="2"/>
  </si>
  <si>
    <t>attack</t>
    <phoneticPr fontId="2"/>
  </si>
  <si>
    <t>Kattack</t>
    <phoneticPr fontId="2"/>
  </si>
  <si>
    <t xml:space="preserve">defence </t>
    <phoneticPr fontId="2"/>
  </si>
  <si>
    <t>maxkai</t>
    <phoneticPr fontId="2"/>
  </si>
  <si>
    <t>sum</t>
    <phoneticPr fontId="2"/>
  </si>
  <si>
    <t>tan</t>
    <phoneticPr fontId="2"/>
  </si>
  <si>
    <t>adds</t>
    <phoneticPr fontId="2"/>
  </si>
  <si>
    <t>jizoku</t>
    <phoneticPr fontId="2"/>
  </si>
  <si>
    <t>Kdefence</t>
    <phoneticPr fontId="2"/>
  </si>
  <si>
    <t>Element</t>
    <phoneticPr fontId="2"/>
  </si>
  <si>
    <t>AElement</t>
    <phoneticPr fontId="2"/>
  </si>
  <si>
    <t>Delement</t>
    <phoneticPr fontId="2"/>
  </si>
  <si>
    <t>Ahissatu</t>
    <phoneticPr fontId="2"/>
  </si>
  <si>
    <t>Dhissatu</t>
    <phoneticPr fontId="2"/>
  </si>
  <si>
    <t>sumadds</t>
    <phoneticPr fontId="2"/>
  </si>
  <si>
    <t>tanadds</t>
    <phoneticPr fontId="2"/>
  </si>
  <si>
    <t>kaito</t>
    <phoneticPr fontId="2"/>
  </si>
  <si>
    <t>templa</t>
    <phoneticPr fontId="2"/>
  </si>
  <si>
    <t>monika</t>
    <phoneticPr fontId="2"/>
  </si>
  <si>
    <t>penny</t>
    <phoneticPr fontId="2"/>
  </si>
  <si>
    <t>yuu</t>
    <phoneticPr fontId="2"/>
  </si>
  <si>
    <t>maniya</t>
    <phoneticPr fontId="2"/>
  </si>
  <si>
    <t>sisyo</t>
    <phoneticPr fontId="2"/>
  </si>
  <si>
    <t>statuts</t>
    <phoneticPr fontId="2"/>
  </si>
  <si>
    <t>片方は回復ね</t>
    <rPh sb="0" eb="2">
      <t>カタホウ</t>
    </rPh>
    <rPh sb="3" eb="5">
      <t>カイフク</t>
    </rPh>
    <phoneticPr fontId="2"/>
  </si>
  <si>
    <t>なぞ。</t>
    <phoneticPr fontId="2"/>
  </si>
  <si>
    <t>わからん</t>
    <phoneticPr fontId="2"/>
  </si>
  <si>
    <t>addsがダメージ</t>
    <phoneticPr fontId="2"/>
  </si>
  <si>
    <t>tutitukumo</t>
    <phoneticPr fontId="2"/>
  </si>
  <si>
    <t>toAll</t>
    <phoneticPr fontId="2"/>
  </si>
  <si>
    <t>Heal</t>
    <phoneticPr fontId="2"/>
  </si>
  <si>
    <t>heal</t>
    <phoneticPr fontId="2"/>
  </si>
  <si>
    <t>template</t>
    <phoneticPr fontId="2"/>
  </si>
  <si>
    <t>jotto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</si>
</sst>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u/>
      <sz val="11"/>
      <color theme="1"/>
      <name val="Yu Gothic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/>
      <top/>
      <bottom/>
      <diagonal/>
    </border>
  </borders>
  <cellStyleXfs count="8">
    <xf numFmtId="0" fontId="0" fillId="0" borderId="0"/>
    <xf numFmtId="0" fontId="3" fillId="2" borderId="2" applyNumberFormat="0" applyFon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</cellStyleXfs>
  <cellXfs count="16">
    <xf numFmtId="0" fontId="0" fillId="0" borderId="0" xfId="0"/>
    <xf numFmtId="0" fontId="0" fillId="2" borderId="2" xfId="1" applyFont="1" applyAlignment="1"/>
    <xf numFmtId="0" fontId="1" fillId="6" borderId="0" xfId="5" applyAlignment="1"/>
    <xf numFmtId="0" fontId="1" fillId="8" borderId="0" xfId="7" applyAlignment="1"/>
    <xf numFmtId="0" fontId="1" fillId="4" borderId="2" xfId="3" applyBorder="1" applyAlignment="1"/>
    <xf numFmtId="0" fontId="1" fillId="3" borderId="1" xfId="2" applyBorder="1" applyAlignment="1"/>
    <xf numFmtId="0" fontId="1" fillId="3" borderId="2" xfId="2" applyBorder="1" applyAlignment="1"/>
    <xf numFmtId="0" fontId="1" fillId="4" borderId="0" xfId="3" applyAlignment="1"/>
    <xf numFmtId="0" fontId="1" fillId="3" borderId="0" xfId="2" applyAlignment="1"/>
    <xf numFmtId="0" fontId="1" fillId="3" borderId="3" xfId="2" applyBorder="1" applyAlignment="1"/>
    <xf numFmtId="0" fontId="0" fillId="2" borderId="4" xfId="1" applyFont="1" applyBorder="1" applyAlignment="1"/>
    <xf numFmtId="0" fontId="1" fillId="7" borderId="0" xfId="6" applyAlignment="1"/>
    <xf numFmtId="0" fontId="4" fillId="3" borderId="1" xfId="2" applyFont="1" applyBorder="1" applyAlignment="1"/>
    <xf numFmtId="0" fontId="1" fillId="5" borderId="0" xfId="4" applyAlignment="1"/>
    <xf numFmtId="0" fontId="1" fillId="4" borderId="5" xfId="3" applyBorder="1" applyAlignment="1"/>
    <xf numFmtId="0" fontId="1" fillId="4" borderId="4" xfId="3" applyBorder="1" applyAlignment="1"/>
  </cellXfs>
  <cellStyles count="8">
    <cellStyle name="20% - アクセント 5" xfId="5" builtinId="46"/>
    <cellStyle name="20% - アクセント 6" xfId="7" builtinId="50"/>
    <cellStyle name="40% - アクセント 2" xfId="2" builtinId="35"/>
    <cellStyle name="40% - アクセント 4" xfId="3" builtinId="43"/>
    <cellStyle name="60% - アクセント 4" xfId="4" builtinId="44"/>
    <cellStyle name="60% - アクセント 5" xfId="6" builtinId="48"/>
    <cellStyle name="メモ" xfId="1" builtinId="10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76"/>
  <sheetViews>
    <sheetView tabSelected="1" topLeftCell="H16" zoomScale="55" zoomScaleNormal="55" workbookViewId="0">
      <selection activeCell="Y45" sqref="Y45"/>
    </sheetView>
  </sheetViews>
  <sheetFormatPr defaultRowHeight="18"/>
  <sheetData>
    <row r="1" spans="1:32">
      <c r="A1" s="5" t="s">
        <v>0</v>
      </c>
      <c r="B1" s="4" t="s">
        <v>12</v>
      </c>
      <c r="C1" s="4" t="s">
        <v>2</v>
      </c>
      <c r="D1" s="4" t="s">
        <v>1</v>
      </c>
      <c r="E1" s="4" t="s">
        <v>3</v>
      </c>
      <c r="F1" s="4" t="s">
        <v>4</v>
      </c>
      <c r="G1" s="4" t="s">
        <v>8</v>
      </c>
      <c r="H1" s="4" t="s">
        <v>11</v>
      </c>
      <c r="I1" s="4" t="s">
        <v>9</v>
      </c>
      <c r="J1" s="4" t="s">
        <v>10</v>
      </c>
      <c r="K1" s="4" t="s">
        <v>19</v>
      </c>
      <c r="L1" s="4" t="s">
        <v>20</v>
      </c>
      <c r="R1" s="6" t="s">
        <v>22</v>
      </c>
      <c r="S1" s="4" t="s">
        <v>12</v>
      </c>
      <c r="T1" s="4" t="s">
        <v>2</v>
      </c>
      <c r="U1" s="4" t="s">
        <v>1</v>
      </c>
      <c r="V1" s="4" t="s">
        <v>3</v>
      </c>
      <c r="W1" s="4" t="s">
        <v>4</v>
      </c>
      <c r="X1" s="4" t="s">
        <v>8</v>
      </c>
      <c r="Y1" s="4" t="s">
        <v>11</v>
      </c>
      <c r="Z1" s="4" t="s">
        <v>9</v>
      </c>
      <c r="AA1" s="4" t="s">
        <v>10</v>
      </c>
      <c r="AB1" s="4" t="s">
        <v>19</v>
      </c>
      <c r="AC1" s="4" t="s">
        <v>20</v>
      </c>
    </row>
    <row r="2" spans="1:32">
      <c r="A2" s="5" t="s">
        <v>5</v>
      </c>
      <c r="B2" s="1">
        <v>1</v>
      </c>
      <c r="C2" s="1">
        <v>1</v>
      </c>
      <c r="D2" s="1">
        <v>50</v>
      </c>
      <c r="E2" s="1">
        <v>1</v>
      </c>
      <c r="F2" s="1">
        <v>1</v>
      </c>
      <c r="G2" s="1">
        <f t="shared" ref="G2:G10" si="0">MIN(B2/C2,F2)</f>
        <v>1</v>
      </c>
      <c r="H2" s="1">
        <v>0</v>
      </c>
      <c r="I2" s="2" cm="1">
        <f t="array" ref="I2">SPDAM(D2,E2,F2)</f>
        <v>50</v>
      </c>
      <c r="J2" s="3" cm="1">
        <f t="array" ref="J2">SPDAM(D2,E2,G2)</f>
        <v>50</v>
      </c>
      <c r="K2" s="2">
        <f t="shared" ref="K2:K10" si="1">F2*H2</f>
        <v>0</v>
      </c>
      <c r="L2" s="3">
        <f t="shared" ref="L2:L10" si="2">G2*H2</f>
        <v>0</v>
      </c>
      <c r="R2" s="5" t="s">
        <v>5</v>
      </c>
      <c r="S2" s="1">
        <v>1</v>
      </c>
      <c r="T2" s="1">
        <v>1</v>
      </c>
      <c r="U2" s="1">
        <v>0</v>
      </c>
      <c r="V2" s="1">
        <v>1</v>
      </c>
      <c r="W2" s="1">
        <v>1</v>
      </c>
      <c r="X2" s="1">
        <f t="shared" ref="X2:X10" si="3">MIN(S2/T2,W2)</f>
        <v>1</v>
      </c>
      <c r="Y2" s="1">
        <v>0</v>
      </c>
      <c r="Z2" s="2" cm="1">
        <f t="array" ref="Z2">SPDAM(U2,V2,W2)</f>
        <v>0</v>
      </c>
      <c r="AA2" s="3" cm="1">
        <f t="array" ref="AA2">SPDAM(U2,V2,X2)</f>
        <v>0</v>
      </c>
      <c r="AB2" s="2">
        <f t="shared" ref="AB2:AB10" si="4">W2*Y2</f>
        <v>0</v>
      </c>
      <c r="AC2" s="3">
        <f t="shared" ref="AC2:AC10" si="5">X2*Y2</f>
        <v>0</v>
      </c>
    </row>
    <row r="3" spans="1:32">
      <c r="A3" s="5" t="s">
        <v>6</v>
      </c>
      <c r="B3" s="1">
        <v>1</v>
      </c>
      <c r="C3" s="1">
        <v>1</v>
      </c>
      <c r="D3" s="1">
        <v>75</v>
      </c>
      <c r="E3" s="1">
        <v>1</v>
      </c>
      <c r="F3" s="1">
        <v>1</v>
      </c>
      <c r="G3" s="1">
        <f t="shared" si="0"/>
        <v>1</v>
      </c>
      <c r="H3" s="1">
        <v>0</v>
      </c>
      <c r="I3" s="2" cm="1">
        <f t="array" ref="I3">SPDAM(D3,E3,F3)</f>
        <v>75</v>
      </c>
      <c r="J3" s="3" cm="1">
        <f t="array" ref="J3">SPDAM(D3,E3,G3)</f>
        <v>75</v>
      </c>
      <c r="K3" s="2">
        <f t="shared" si="1"/>
        <v>0</v>
      </c>
      <c r="L3" s="3">
        <f t="shared" si="2"/>
        <v>0</v>
      </c>
      <c r="R3" s="5" t="s">
        <v>6</v>
      </c>
      <c r="S3" s="1">
        <v>1</v>
      </c>
      <c r="T3" s="1">
        <v>1</v>
      </c>
      <c r="U3" s="1">
        <v>0</v>
      </c>
      <c r="V3" s="1">
        <v>1</v>
      </c>
      <c r="W3" s="1">
        <v>1</v>
      </c>
      <c r="X3" s="1">
        <f t="shared" si="3"/>
        <v>1</v>
      </c>
      <c r="Y3" s="1">
        <v>0</v>
      </c>
      <c r="Z3" s="2" cm="1">
        <f t="array" ref="Z3">SPDAM(U3,V3,W3)</f>
        <v>0</v>
      </c>
      <c r="AA3" s="3" cm="1">
        <f t="array" ref="AA3">SPDAM(U3,V3,X3)</f>
        <v>0</v>
      </c>
      <c r="AB3" s="2">
        <f t="shared" si="4"/>
        <v>0</v>
      </c>
      <c r="AC3" s="3">
        <f t="shared" si="5"/>
        <v>0</v>
      </c>
    </row>
    <row r="4" spans="1:32">
      <c r="A4" s="5" t="s">
        <v>7</v>
      </c>
      <c r="B4" s="1">
        <v>1</v>
      </c>
      <c r="C4" s="1">
        <v>1</v>
      </c>
      <c r="D4" s="1">
        <v>40</v>
      </c>
      <c r="E4" s="1">
        <v>1</v>
      </c>
      <c r="F4" s="1">
        <v>1</v>
      </c>
      <c r="G4" s="1">
        <f t="shared" si="0"/>
        <v>1</v>
      </c>
      <c r="H4" s="1">
        <v>0</v>
      </c>
      <c r="I4" s="2" cm="1">
        <f t="array" ref="I4">SPDAM(D4,E4,F4)</f>
        <v>40</v>
      </c>
      <c r="J4" s="3" cm="1">
        <f t="array" ref="J4">SPDAM(D4,E4,G4)</f>
        <v>40</v>
      </c>
      <c r="K4" s="2">
        <f t="shared" si="1"/>
        <v>0</v>
      </c>
      <c r="L4" s="3">
        <f t="shared" si="2"/>
        <v>0</v>
      </c>
      <c r="R4" s="5" t="s">
        <v>7</v>
      </c>
      <c r="S4" s="1">
        <v>1</v>
      </c>
      <c r="T4" s="1">
        <v>1</v>
      </c>
      <c r="U4" s="1">
        <v>0</v>
      </c>
      <c r="V4" s="1">
        <v>1</v>
      </c>
      <c r="W4" s="1">
        <v>1</v>
      </c>
      <c r="X4" s="1">
        <f t="shared" si="3"/>
        <v>1</v>
      </c>
      <c r="Y4" s="1">
        <v>0</v>
      </c>
      <c r="Z4" s="2" cm="1">
        <f t="array" ref="Z4">SPDAM(U4,V4,W4)</f>
        <v>0</v>
      </c>
      <c r="AA4" s="3" cm="1">
        <f t="array" ref="AA4">SPDAM(U4,V4,X4)</f>
        <v>0</v>
      </c>
      <c r="AB4" s="2">
        <f t="shared" si="4"/>
        <v>0</v>
      </c>
      <c r="AC4" s="3">
        <f t="shared" si="5"/>
        <v>0</v>
      </c>
      <c r="AD4" s="11">
        <v>0</v>
      </c>
    </row>
    <row r="5" spans="1:32">
      <c r="A5" s="5" t="s">
        <v>13</v>
      </c>
      <c r="B5" s="1">
        <v>80</v>
      </c>
      <c r="C5" s="1">
        <v>7</v>
      </c>
      <c r="D5" s="1">
        <v>10</v>
      </c>
      <c r="E5" s="1">
        <v>0.95</v>
      </c>
      <c r="F5" s="1">
        <v>48</v>
      </c>
      <c r="G5" s="1">
        <f t="shared" si="0"/>
        <v>11.428571428571429</v>
      </c>
      <c r="H5" s="1">
        <v>0</v>
      </c>
      <c r="I5" s="2" cm="1">
        <f t="array" ref="I5">SPDAM(D5,E5,F5)</f>
        <v>182.94848193313823</v>
      </c>
      <c r="J5" s="3" cm="1">
        <f t="array" ref="J5">SPDAM(D5,E5,G5)</f>
        <v>88.713463196557768</v>
      </c>
      <c r="K5" s="2">
        <f t="shared" si="1"/>
        <v>0</v>
      </c>
      <c r="L5" s="3">
        <f t="shared" si="2"/>
        <v>0</v>
      </c>
      <c r="R5" s="5" t="s">
        <v>13</v>
      </c>
      <c r="S5" s="1">
        <v>1</v>
      </c>
      <c r="T5" s="1">
        <v>1</v>
      </c>
      <c r="U5" s="1">
        <v>0</v>
      </c>
      <c r="V5" s="1">
        <v>1</v>
      </c>
      <c r="W5" s="1">
        <v>1</v>
      </c>
      <c r="X5" s="1">
        <f t="shared" si="3"/>
        <v>1</v>
      </c>
      <c r="Y5" s="1">
        <v>0</v>
      </c>
      <c r="Z5" s="2" cm="1">
        <f t="array" ref="Z5">SPDAM(U5,V5,W5)</f>
        <v>0</v>
      </c>
      <c r="AA5" s="3" cm="1">
        <f t="array" ref="AA5">SPDAM(U5,V5,X5)</f>
        <v>0</v>
      </c>
      <c r="AB5" s="2">
        <f t="shared" si="4"/>
        <v>0</v>
      </c>
      <c r="AC5" s="3">
        <f t="shared" si="5"/>
        <v>0</v>
      </c>
      <c r="AD5" s="11">
        <v>0</v>
      </c>
    </row>
    <row r="6" spans="1:32">
      <c r="A6" s="5" t="s">
        <v>14</v>
      </c>
      <c r="B6" s="1">
        <v>100</v>
      </c>
      <c r="C6" s="1">
        <v>20</v>
      </c>
      <c r="D6" s="1">
        <v>15</v>
      </c>
      <c r="E6" s="1">
        <v>0.9</v>
      </c>
      <c r="F6" s="1">
        <v>6</v>
      </c>
      <c r="G6" s="1">
        <f t="shared" si="0"/>
        <v>5</v>
      </c>
      <c r="H6" s="1">
        <v>0.08</v>
      </c>
      <c r="I6" s="2" cm="1">
        <f t="array" ref="I6">SPDAM(D6,E6,F6)</f>
        <v>70.283850000000001</v>
      </c>
      <c r="J6" s="3" cm="1">
        <f t="array" ref="J6">SPDAM(D6,E6,G6)</f>
        <v>61.426500000000004</v>
      </c>
      <c r="K6" s="2">
        <f t="shared" si="1"/>
        <v>0.48</v>
      </c>
      <c r="L6" s="3">
        <f t="shared" si="2"/>
        <v>0.4</v>
      </c>
      <c r="R6" s="5" t="s">
        <v>14</v>
      </c>
      <c r="S6" s="1">
        <v>1</v>
      </c>
      <c r="T6" s="1">
        <v>1</v>
      </c>
      <c r="U6" s="1">
        <v>0</v>
      </c>
      <c r="V6" s="1">
        <v>1</v>
      </c>
      <c r="W6" s="1">
        <v>1</v>
      </c>
      <c r="X6" s="1">
        <f t="shared" si="3"/>
        <v>1</v>
      </c>
      <c r="Y6" s="1">
        <v>0</v>
      </c>
      <c r="Z6" s="2" cm="1">
        <f t="array" ref="Z6">SPDAM(U6,V6,W6)</f>
        <v>0</v>
      </c>
      <c r="AA6" s="3" cm="1">
        <f t="array" ref="AA6">SPDAM(U6,V6,X6)</f>
        <v>0</v>
      </c>
      <c r="AB6" s="2">
        <f t="shared" si="4"/>
        <v>0</v>
      </c>
      <c r="AC6" s="3">
        <f t="shared" si="5"/>
        <v>0</v>
      </c>
      <c r="AD6" s="2">
        <f>Z6+AB6</f>
        <v>0</v>
      </c>
      <c r="AE6" s="3">
        <f>AA6+AC6</f>
        <v>0</v>
      </c>
      <c r="AF6">
        <v>1</v>
      </c>
    </row>
    <row r="7" spans="1:32">
      <c r="A7" s="5" t="s">
        <v>15</v>
      </c>
      <c r="B7" s="1">
        <v>1</v>
      </c>
      <c r="C7" s="1">
        <v>1</v>
      </c>
      <c r="D7" s="1">
        <v>87.5</v>
      </c>
      <c r="E7" s="1">
        <v>0.6</v>
      </c>
      <c r="F7" s="1">
        <v>3</v>
      </c>
      <c r="G7" s="1">
        <f t="shared" si="0"/>
        <v>1</v>
      </c>
      <c r="H7" s="1">
        <v>0.16</v>
      </c>
      <c r="I7" s="2" cm="1">
        <f t="array" ref="I7">SPDAM(D7,E7,F7)</f>
        <v>171.5</v>
      </c>
      <c r="J7" s="3" cm="1">
        <f t="array" ref="J7">SPDAM(D7,E7,G7)</f>
        <v>87.5</v>
      </c>
      <c r="K7" s="2">
        <f t="shared" si="1"/>
        <v>0.48</v>
      </c>
      <c r="L7" s="3">
        <f t="shared" si="2"/>
        <v>0.16</v>
      </c>
      <c r="R7" s="5" t="s">
        <v>15</v>
      </c>
      <c r="S7" s="1">
        <v>1</v>
      </c>
      <c r="T7" s="1">
        <v>1</v>
      </c>
      <c r="U7" s="1">
        <v>0</v>
      </c>
      <c r="V7" s="1">
        <v>1</v>
      </c>
      <c r="W7" s="1">
        <v>1</v>
      </c>
      <c r="X7" s="1">
        <f t="shared" si="3"/>
        <v>1</v>
      </c>
      <c r="Y7" s="1">
        <v>0</v>
      </c>
      <c r="Z7" s="2" cm="1">
        <f t="array" ref="Z7">SPDAM(U7,V7,W7)</f>
        <v>0</v>
      </c>
      <c r="AA7" s="3" cm="1">
        <f t="array" ref="AA7">SPDAM(U7,V7,X7)</f>
        <v>0</v>
      </c>
      <c r="AB7" s="2">
        <f t="shared" si="4"/>
        <v>0</v>
      </c>
      <c r="AC7" s="3">
        <f t="shared" si="5"/>
        <v>0</v>
      </c>
    </row>
    <row r="8" spans="1:32">
      <c r="A8" s="5" t="s">
        <v>16</v>
      </c>
      <c r="B8" s="1">
        <v>1</v>
      </c>
      <c r="C8" s="1">
        <v>1</v>
      </c>
      <c r="D8" s="1">
        <v>55</v>
      </c>
      <c r="E8" s="1">
        <v>1</v>
      </c>
      <c r="F8" s="1">
        <v>6</v>
      </c>
      <c r="G8" s="1">
        <f t="shared" si="0"/>
        <v>1</v>
      </c>
      <c r="H8" s="1">
        <v>0.25</v>
      </c>
      <c r="I8" s="2" cm="1">
        <f t="array" ref="I8">SPDAM(D8,E8,F8)</f>
        <v>330</v>
      </c>
      <c r="J8" s="3" cm="1">
        <f t="array" ref="J8">SPDAM(D8,E8,G8)</f>
        <v>55</v>
      </c>
      <c r="K8" s="2">
        <f t="shared" si="1"/>
        <v>1.5</v>
      </c>
      <c r="L8" s="3">
        <f t="shared" si="2"/>
        <v>0.25</v>
      </c>
      <c r="R8" s="5" t="s">
        <v>16</v>
      </c>
      <c r="S8" s="1">
        <v>1</v>
      </c>
      <c r="T8" s="1">
        <v>1</v>
      </c>
      <c r="U8" s="1">
        <v>0</v>
      </c>
      <c r="V8" s="1">
        <v>1</v>
      </c>
      <c r="W8" s="1">
        <v>1</v>
      </c>
      <c r="X8" s="1">
        <f t="shared" si="3"/>
        <v>1</v>
      </c>
      <c r="Y8" s="1">
        <v>0</v>
      </c>
      <c r="Z8" s="2" cm="1">
        <f t="array" ref="Z8">SPDAM(U8,V8,W8)</f>
        <v>0</v>
      </c>
      <c r="AA8" s="3" cm="1">
        <f t="array" ref="AA8">SPDAM(U8,V8,X8)</f>
        <v>0</v>
      </c>
      <c r="AB8" s="2">
        <f t="shared" si="4"/>
        <v>0</v>
      </c>
      <c r="AC8" s="3">
        <f t="shared" si="5"/>
        <v>0</v>
      </c>
      <c r="AD8" s="11">
        <v>0</v>
      </c>
    </row>
    <row r="9" spans="1:32">
      <c r="A9" s="5" t="s">
        <v>17</v>
      </c>
      <c r="B9" s="1">
        <v>1</v>
      </c>
      <c r="C9" s="1">
        <v>1</v>
      </c>
      <c r="D9" s="1">
        <v>130</v>
      </c>
      <c r="E9" s="1">
        <v>0.9</v>
      </c>
      <c r="F9" s="1">
        <v>4</v>
      </c>
      <c r="G9" s="1">
        <f t="shared" si="0"/>
        <v>1</v>
      </c>
      <c r="H9" s="1">
        <v>0.35</v>
      </c>
      <c r="I9" s="2" cm="1">
        <f t="array" ref="I9">SPDAM(D9,E9,F9)</f>
        <v>447.07000000000005</v>
      </c>
      <c r="J9" s="3" cm="1">
        <f t="array" ref="J9">SPDAM(D9,E9,G9)</f>
        <v>130</v>
      </c>
      <c r="K9" s="2">
        <f t="shared" si="1"/>
        <v>1.4</v>
      </c>
      <c r="L9" s="3">
        <f t="shared" si="2"/>
        <v>0.35</v>
      </c>
      <c r="R9" s="5" t="s">
        <v>17</v>
      </c>
      <c r="S9" s="1">
        <v>1</v>
      </c>
      <c r="T9" s="1">
        <v>1</v>
      </c>
      <c r="U9" s="1">
        <v>0</v>
      </c>
      <c r="V9" s="1">
        <v>1</v>
      </c>
      <c r="W9" s="1">
        <v>1</v>
      </c>
      <c r="X9" s="1">
        <f t="shared" si="3"/>
        <v>1</v>
      </c>
      <c r="Y9" s="1">
        <v>0</v>
      </c>
      <c r="Z9" s="2" cm="1">
        <f t="array" ref="Z9">SPDAM(U9,V9,W9)</f>
        <v>0</v>
      </c>
      <c r="AA9" s="3" cm="1">
        <f t="array" ref="AA9">SPDAM(U9,V9,X9)</f>
        <v>0</v>
      </c>
      <c r="AB9" s="2">
        <f t="shared" si="4"/>
        <v>0</v>
      </c>
      <c r="AC9" s="3">
        <f t="shared" si="5"/>
        <v>0</v>
      </c>
      <c r="AD9" s="11">
        <v>0</v>
      </c>
    </row>
    <row r="10" spans="1:32">
      <c r="A10" s="5" t="s">
        <v>18</v>
      </c>
      <c r="B10" s="1">
        <v>1</v>
      </c>
      <c r="C10" s="1">
        <v>1</v>
      </c>
      <c r="D10" s="1">
        <v>95</v>
      </c>
      <c r="E10" s="1">
        <v>0.95</v>
      </c>
      <c r="F10" s="1">
        <v>6</v>
      </c>
      <c r="G10" s="1">
        <f t="shared" si="0"/>
        <v>1</v>
      </c>
      <c r="H10" s="1">
        <v>0.5</v>
      </c>
      <c r="I10" s="2" cm="1">
        <f t="array" ref="I10">SPDAM(D10,E10,F10)</f>
        <v>503.32540781249986</v>
      </c>
      <c r="J10" s="3" cm="1">
        <f t="array" ref="J10">SPDAM(D10,E10,G10)</f>
        <v>95</v>
      </c>
      <c r="K10" s="2">
        <f t="shared" si="1"/>
        <v>3</v>
      </c>
      <c r="L10" s="3">
        <f t="shared" si="2"/>
        <v>0.5</v>
      </c>
      <c r="R10" s="5" t="s">
        <v>18</v>
      </c>
      <c r="S10" s="1">
        <v>1</v>
      </c>
      <c r="T10" s="1">
        <v>1</v>
      </c>
      <c r="U10" s="1">
        <v>0</v>
      </c>
      <c r="V10" s="1">
        <v>1</v>
      </c>
      <c r="W10" s="1">
        <v>1</v>
      </c>
      <c r="X10" s="1">
        <f t="shared" si="3"/>
        <v>1</v>
      </c>
      <c r="Y10" s="1">
        <v>0</v>
      </c>
      <c r="Z10" s="2" cm="1">
        <f t="array" ref="Z10">SPDAM(U10,V10,W10)</f>
        <v>0</v>
      </c>
      <c r="AA10" s="3" cm="1">
        <f t="array" ref="AA10">SPDAM(U10,V10,X10)</f>
        <v>0</v>
      </c>
      <c r="AB10" s="2">
        <f t="shared" si="4"/>
        <v>0</v>
      </c>
      <c r="AC10" s="3">
        <f t="shared" si="5"/>
        <v>0</v>
      </c>
    </row>
    <row r="11" spans="1:32">
      <c r="A11" s="9" t="s">
        <v>28</v>
      </c>
      <c r="B11" s="10">
        <v>1000</v>
      </c>
      <c r="C11" s="10">
        <v>2</v>
      </c>
      <c r="D11" s="10"/>
      <c r="E11" s="10">
        <v>1.1000000000000001</v>
      </c>
      <c r="F11" s="10">
        <v>1.2</v>
      </c>
      <c r="G11" s="10">
        <v>1.1000000000000001</v>
      </c>
      <c r="H11" s="10"/>
      <c r="I11" s="2"/>
      <c r="J11" s="3"/>
      <c r="K11" s="2"/>
      <c r="L11" s="3"/>
      <c r="R11" s="9" t="s">
        <v>28</v>
      </c>
      <c r="S11" s="10">
        <v>0</v>
      </c>
      <c r="T11" s="10">
        <v>0</v>
      </c>
      <c r="U11" s="10"/>
      <c r="V11" s="10">
        <v>0</v>
      </c>
      <c r="W11" s="10">
        <v>0</v>
      </c>
      <c r="X11" s="10">
        <v>0</v>
      </c>
      <c r="Y11" s="10"/>
      <c r="Z11" s="2"/>
      <c r="AA11" s="3"/>
      <c r="AB11" s="2"/>
      <c r="AC11" s="3"/>
    </row>
    <row r="14" spans="1:32">
      <c r="A14" s="8" t="s">
        <v>21</v>
      </c>
      <c r="B14" s="7" t="s">
        <v>12</v>
      </c>
      <c r="C14" s="7" t="s">
        <v>2</v>
      </c>
      <c r="D14" s="7" t="s">
        <v>1</v>
      </c>
      <c r="E14" s="7" t="s">
        <v>3</v>
      </c>
      <c r="F14" s="7" t="s">
        <v>4</v>
      </c>
      <c r="G14" s="7" t="s">
        <v>8</v>
      </c>
      <c r="H14" s="7" t="s">
        <v>11</v>
      </c>
      <c r="I14" s="7" t="s">
        <v>9</v>
      </c>
      <c r="J14" s="7" t="s">
        <v>10</v>
      </c>
      <c r="K14" s="7" t="s">
        <v>19</v>
      </c>
      <c r="L14" s="7" t="s">
        <v>20</v>
      </c>
      <c r="R14" s="6" t="s">
        <v>23</v>
      </c>
      <c r="S14" s="4" t="s">
        <v>12</v>
      </c>
      <c r="T14" s="4" t="s">
        <v>2</v>
      </c>
      <c r="U14" s="4" t="s">
        <v>1</v>
      </c>
      <c r="V14" s="4" t="s">
        <v>3</v>
      </c>
      <c r="W14" s="4" t="s">
        <v>4</v>
      </c>
      <c r="X14" s="4" t="s">
        <v>8</v>
      </c>
      <c r="Y14" s="4" t="s">
        <v>11</v>
      </c>
      <c r="Z14" s="4" t="s">
        <v>9</v>
      </c>
      <c r="AA14" s="4" t="s">
        <v>10</v>
      </c>
      <c r="AB14" s="4" t="s">
        <v>19</v>
      </c>
      <c r="AC14" s="4" t="s">
        <v>20</v>
      </c>
    </row>
    <row r="15" spans="1:32">
      <c r="A15" s="8" t="s">
        <v>5</v>
      </c>
      <c r="B15" s="1">
        <v>3</v>
      </c>
      <c r="C15" s="1">
        <v>1</v>
      </c>
      <c r="D15" s="1">
        <v>20</v>
      </c>
      <c r="E15" s="1">
        <v>1</v>
      </c>
      <c r="F15" s="1">
        <v>3</v>
      </c>
      <c r="G15" s="1">
        <f t="shared" ref="G15:G23" si="6">MIN(B15/C15,F15)</f>
        <v>3</v>
      </c>
      <c r="H15" s="1">
        <v>0</v>
      </c>
      <c r="I15" s="2" cm="1">
        <f t="array" ref="I15">SPDAM(D15,E15,F15)</f>
        <v>60</v>
      </c>
      <c r="J15" s="3" cm="1">
        <f t="array" ref="J15">SPDAM(D15,E15,G15)</f>
        <v>60</v>
      </c>
      <c r="K15" s="2">
        <f t="shared" ref="K15:K23" si="7">F15*H15</f>
        <v>0</v>
      </c>
      <c r="L15" s="3">
        <f t="shared" ref="L15:L23" si="8">G15*H15</f>
        <v>0</v>
      </c>
      <c r="R15" s="5" t="s">
        <v>5</v>
      </c>
      <c r="S15" s="1">
        <v>5</v>
      </c>
      <c r="T15" s="1">
        <v>1</v>
      </c>
      <c r="U15" s="1">
        <v>12</v>
      </c>
      <c r="V15" s="1">
        <v>1</v>
      </c>
      <c r="W15" s="1">
        <v>5</v>
      </c>
      <c r="X15" s="1">
        <f>MIN(S15/T15,W15)</f>
        <v>5</v>
      </c>
      <c r="Y15" s="1">
        <v>0</v>
      </c>
      <c r="Z15" s="2" cm="1">
        <f t="array" ref="Z15">SPDAM(U15,V15,W15)</f>
        <v>60</v>
      </c>
      <c r="AA15" s="3" cm="1">
        <f t="array" ref="AA15">SPDAM(U15,V15,X15)</f>
        <v>60</v>
      </c>
      <c r="AB15" s="2">
        <f t="shared" ref="AB15:AB23" si="9">W15*Y15</f>
        <v>0</v>
      </c>
      <c r="AC15" s="3">
        <f t="shared" ref="AC15:AC23" si="10">X15*Y15</f>
        <v>0</v>
      </c>
    </row>
    <row r="16" spans="1:32">
      <c r="A16" s="8" t="s">
        <v>6</v>
      </c>
      <c r="B16" s="1">
        <v>4</v>
      </c>
      <c r="C16" s="1">
        <v>1</v>
      </c>
      <c r="D16" s="1">
        <v>21.5</v>
      </c>
      <c r="E16" s="1">
        <v>1</v>
      </c>
      <c r="F16" s="1">
        <v>4</v>
      </c>
      <c r="G16" s="1">
        <f t="shared" si="6"/>
        <v>4</v>
      </c>
      <c r="H16" s="1">
        <v>0</v>
      </c>
      <c r="I16" s="2" cm="1">
        <f t="array" ref="I16">SPDAM(D16,E16,F16)</f>
        <v>86</v>
      </c>
      <c r="J16" s="3" cm="1">
        <f t="array" ref="J16">SPDAM(D16,E16,G16)</f>
        <v>86</v>
      </c>
      <c r="K16" s="2">
        <f t="shared" si="7"/>
        <v>0</v>
      </c>
      <c r="L16" s="3">
        <f t="shared" si="8"/>
        <v>0</v>
      </c>
      <c r="R16" s="5" t="s">
        <v>6</v>
      </c>
      <c r="S16" s="1">
        <v>9</v>
      </c>
      <c r="T16" s="1">
        <v>1</v>
      </c>
      <c r="U16" s="1">
        <v>10</v>
      </c>
      <c r="V16" s="1">
        <v>1</v>
      </c>
      <c r="W16" s="1">
        <v>9</v>
      </c>
      <c r="X16" s="1">
        <f>MIN(S16/T16,W16)</f>
        <v>9</v>
      </c>
      <c r="Y16" s="1">
        <v>0</v>
      </c>
      <c r="Z16" s="2" cm="1">
        <f t="array" ref="Z16">SPDAM(U16,V16,W16)</f>
        <v>90</v>
      </c>
      <c r="AA16" s="3" cm="1">
        <f t="array" ref="AA16">SPDAM(U16,V16,X16)</f>
        <v>90</v>
      </c>
      <c r="AB16" s="2">
        <f t="shared" si="9"/>
        <v>0</v>
      </c>
      <c r="AC16" s="3">
        <f t="shared" si="10"/>
        <v>0</v>
      </c>
    </row>
    <row r="17" spans="1:31">
      <c r="A17" s="8" t="s">
        <v>7</v>
      </c>
      <c r="B17" s="1">
        <v>1</v>
      </c>
      <c r="C17" s="1">
        <v>1</v>
      </c>
      <c r="D17" s="1">
        <v>0</v>
      </c>
      <c r="E17" s="1">
        <v>1</v>
      </c>
      <c r="F17" s="1">
        <v>1</v>
      </c>
      <c r="G17" s="1">
        <f t="shared" si="6"/>
        <v>1</v>
      </c>
      <c r="H17" s="1">
        <v>0</v>
      </c>
      <c r="I17" s="2" cm="1">
        <f t="array" ref="I17">SPDAM(D17,E17,F17)</f>
        <v>0</v>
      </c>
      <c r="J17" s="3" cm="1">
        <f t="array" ref="J17">SPDAM(D17,E17,G17)</f>
        <v>0</v>
      </c>
      <c r="K17" s="2">
        <f t="shared" si="7"/>
        <v>0</v>
      </c>
      <c r="L17" s="3">
        <f t="shared" si="8"/>
        <v>0</v>
      </c>
      <c r="R17" s="5" t="s">
        <v>7</v>
      </c>
      <c r="S17" s="1">
        <v>3</v>
      </c>
      <c r="T17" s="1">
        <v>1</v>
      </c>
      <c r="U17" s="1">
        <v>18</v>
      </c>
      <c r="V17" s="1">
        <v>1</v>
      </c>
      <c r="W17" s="1">
        <v>3</v>
      </c>
      <c r="X17" s="1">
        <f>MIN(S17/T17,W17)</f>
        <v>3</v>
      </c>
      <c r="Y17" s="1">
        <v>0</v>
      </c>
      <c r="Z17" s="2" cm="1">
        <f t="array" ref="Z17">SPDAM(U17,V17,W17)</f>
        <v>54</v>
      </c>
      <c r="AA17" s="3" cm="1">
        <f t="array" ref="AA17">SPDAM(U17,V17,X17)</f>
        <v>54</v>
      </c>
      <c r="AB17" s="2">
        <f t="shared" si="9"/>
        <v>0</v>
      </c>
      <c r="AC17" s="3">
        <f t="shared" si="10"/>
        <v>0</v>
      </c>
    </row>
    <row r="18" spans="1:31">
      <c r="A18" s="8" t="s">
        <v>13</v>
      </c>
      <c r="B18" s="1">
        <v>1</v>
      </c>
      <c r="C18" s="1">
        <v>1</v>
      </c>
      <c r="D18" s="1">
        <v>150</v>
      </c>
      <c r="E18" s="1">
        <v>1</v>
      </c>
      <c r="F18" s="1">
        <v>1</v>
      </c>
      <c r="G18" s="1">
        <f t="shared" si="6"/>
        <v>1</v>
      </c>
      <c r="H18" s="1">
        <v>0</v>
      </c>
      <c r="I18" s="2" cm="1">
        <f t="array" ref="I18">SPDAM(D18,E18,F18)</f>
        <v>150</v>
      </c>
      <c r="J18" s="3" cm="1">
        <f t="array" ref="J18">SPDAM(D18,E18,G18)</f>
        <v>150</v>
      </c>
      <c r="K18" s="2">
        <f t="shared" si="7"/>
        <v>0</v>
      </c>
      <c r="L18" s="3">
        <f t="shared" si="8"/>
        <v>0</v>
      </c>
      <c r="R18" s="5" t="s">
        <v>13</v>
      </c>
      <c r="S18" s="1">
        <v>20</v>
      </c>
      <c r="T18" s="1">
        <v>1</v>
      </c>
      <c r="U18" s="1">
        <v>8</v>
      </c>
      <c r="V18" s="1">
        <v>1</v>
      </c>
      <c r="W18" s="1">
        <v>20</v>
      </c>
      <c r="X18" s="1">
        <f>MIN(S18/T18,W18)</f>
        <v>20</v>
      </c>
      <c r="Y18" s="1">
        <v>0</v>
      </c>
      <c r="Z18" s="2" cm="1">
        <f t="array" ref="Z18">SPDAM(U18,V18,W18)</f>
        <v>160</v>
      </c>
      <c r="AA18" s="3" cm="1">
        <f t="array" ref="AA18">SPDAM(U18,V18,X18)</f>
        <v>160</v>
      </c>
      <c r="AB18" s="2">
        <f t="shared" si="9"/>
        <v>0</v>
      </c>
      <c r="AC18" s="3">
        <f t="shared" si="10"/>
        <v>0</v>
      </c>
    </row>
    <row r="19" spans="1:31">
      <c r="A19" s="8" t="s">
        <v>14</v>
      </c>
      <c r="B19" s="1">
        <v>240</v>
      </c>
      <c r="C19" s="1">
        <v>40</v>
      </c>
      <c r="D19" s="1">
        <v>10</v>
      </c>
      <c r="E19" s="1">
        <v>0.9</v>
      </c>
      <c r="F19" s="1">
        <v>6</v>
      </c>
      <c r="G19" s="1">
        <f t="shared" si="6"/>
        <v>6</v>
      </c>
      <c r="H19" s="1">
        <v>0.02</v>
      </c>
      <c r="I19" s="2" cm="1">
        <f t="array" ref="I19">SPDAM(D19,E19,F19)</f>
        <v>46.855900000000005</v>
      </c>
      <c r="J19" s="3" cm="1">
        <f t="array" ref="J19">SPDAM(D19,E19,G19)</f>
        <v>46.855900000000005</v>
      </c>
      <c r="K19" s="2">
        <f t="shared" si="7"/>
        <v>0.12</v>
      </c>
      <c r="L19" s="3">
        <f t="shared" si="8"/>
        <v>0.12</v>
      </c>
      <c r="R19" s="5" t="s">
        <v>14</v>
      </c>
      <c r="S19" s="1">
        <v>1</v>
      </c>
      <c r="T19" s="1">
        <v>1</v>
      </c>
      <c r="U19" s="1">
        <v>0</v>
      </c>
      <c r="V19" s="1">
        <v>1</v>
      </c>
      <c r="W19" s="1">
        <v>1</v>
      </c>
      <c r="X19" s="1">
        <f t="shared" ref="X19:X23" si="11">MIN(S19/T19,W19)</f>
        <v>1</v>
      </c>
      <c r="Y19" s="1">
        <v>1</v>
      </c>
      <c r="Z19" s="2" cm="1">
        <f t="array" ref="Z19">SPDAM(U19,V19,W19)</f>
        <v>0</v>
      </c>
      <c r="AA19" s="3" cm="1">
        <f t="array" ref="AA19">SPDAM(U19,V19,X19)</f>
        <v>0</v>
      </c>
      <c r="AB19" s="2">
        <f t="shared" si="9"/>
        <v>1</v>
      </c>
      <c r="AC19" s="3">
        <f t="shared" si="10"/>
        <v>1</v>
      </c>
    </row>
    <row r="20" spans="1:31">
      <c r="A20" s="8" t="s">
        <v>15</v>
      </c>
      <c r="B20" s="1">
        <v>6</v>
      </c>
      <c r="C20" s="1">
        <v>1</v>
      </c>
      <c r="D20" s="1">
        <v>14</v>
      </c>
      <c r="E20" s="1">
        <v>1</v>
      </c>
      <c r="F20" s="1">
        <v>6</v>
      </c>
      <c r="G20" s="1">
        <f t="shared" si="6"/>
        <v>6</v>
      </c>
      <c r="H20" s="1">
        <v>2.5000000000000001E-2</v>
      </c>
      <c r="I20" s="2" cm="1">
        <f t="array" ref="I20">SPDAM(D20,E20,F20)</f>
        <v>84</v>
      </c>
      <c r="J20" s="3" cm="1">
        <f t="array" ref="J20">SPDAM(D20,E20,G20)</f>
        <v>84</v>
      </c>
      <c r="K20" s="2">
        <f t="shared" si="7"/>
        <v>0.15000000000000002</v>
      </c>
      <c r="L20" s="3">
        <f t="shared" si="8"/>
        <v>0.15000000000000002</v>
      </c>
      <c r="R20" s="5" t="s">
        <v>15</v>
      </c>
      <c r="S20" s="1">
        <v>6</v>
      </c>
      <c r="T20" s="1">
        <v>1</v>
      </c>
      <c r="U20" s="1">
        <v>18</v>
      </c>
      <c r="V20" s="1">
        <v>1</v>
      </c>
      <c r="W20" s="1">
        <v>6</v>
      </c>
      <c r="X20" s="1">
        <f t="shared" si="11"/>
        <v>6</v>
      </c>
      <c r="Y20" s="1">
        <v>0</v>
      </c>
      <c r="Z20" s="2" cm="1">
        <f t="array" ref="Z20">SPDAM(U20,V20,W20)</f>
        <v>108</v>
      </c>
      <c r="AA20" s="3" cm="1">
        <f t="array" ref="AA20">SPDAM(U20,V20,X20)</f>
        <v>108</v>
      </c>
      <c r="AB20" s="2">
        <f t="shared" si="9"/>
        <v>0</v>
      </c>
      <c r="AC20" s="3">
        <f t="shared" si="10"/>
        <v>0</v>
      </c>
    </row>
    <row r="21" spans="1:31">
      <c r="A21" s="8" t="s">
        <v>16</v>
      </c>
      <c r="B21" s="1">
        <v>6</v>
      </c>
      <c r="C21" s="1">
        <v>1</v>
      </c>
      <c r="D21" s="1">
        <v>10</v>
      </c>
      <c r="E21" s="1">
        <v>1</v>
      </c>
      <c r="F21" s="1">
        <v>6</v>
      </c>
      <c r="G21" s="1">
        <f t="shared" si="6"/>
        <v>6</v>
      </c>
      <c r="H21" s="1">
        <v>0.03</v>
      </c>
      <c r="I21" s="2" cm="1">
        <f t="array" ref="I21">SPDAM(D21,E21,F21)</f>
        <v>60</v>
      </c>
      <c r="J21" s="3" cm="1">
        <f t="array" ref="J21">SPDAM(D21,E21,G21)</f>
        <v>60</v>
      </c>
      <c r="K21" s="2">
        <f t="shared" si="7"/>
        <v>0.18</v>
      </c>
      <c r="L21" s="3">
        <f t="shared" si="8"/>
        <v>0.18</v>
      </c>
      <c r="R21" s="5" t="s">
        <v>16</v>
      </c>
      <c r="S21" s="1">
        <v>1</v>
      </c>
      <c r="T21" s="1">
        <v>1</v>
      </c>
      <c r="U21" s="1">
        <v>80</v>
      </c>
      <c r="V21" s="1">
        <v>0.8</v>
      </c>
      <c r="W21" s="1">
        <v>4</v>
      </c>
      <c r="X21" s="1">
        <f t="shared" si="11"/>
        <v>1</v>
      </c>
      <c r="Y21" s="1">
        <v>0</v>
      </c>
      <c r="Z21" s="2" cm="1">
        <f t="array" ref="Z21">SPDAM(U21,V21,W21)</f>
        <v>236.16000000000003</v>
      </c>
      <c r="AA21" s="3" cm="1">
        <f t="array" ref="AA21">SPDAM(U21,V21,X21)</f>
        <v>80</v>
      </c>
      <c r="AB21" s="2">
        <f t="shared" si="9"/>
        <v>0</v>
      </c>
      <c r="AC21" s="3">
        <f t="shared" si="10"/>
        <v>0</v>
      </c>
    </row>
    <row r="22" spans="1:31">
      <c r="A22" s="8" t="s">
        <v>17</v>
      </c>
      <c r="B22" s="1">
        <v>8</v>
      </c>
      <c r="C22" s="1">
        <v>1</v>
      </c>
      <c r="D22" s="1">
        <v>17</v>
      </c>
      <c r="E22" s="1">
        <v>1</v>
      </c>
      <c r="F22" s="1">
        <v>8</v>
      </c>
      <c r="G22" s="1">
        <f t="shared" si="6"/>
        <v>8</v>
      </c>
      <c r="H22" s="1">
        <v>0.03</v>
      </c>
      <c r="I22" s="2" cm="1">
        <f t="array" ref="I22">SPDAM(D22,E22,F22)</f>
        <v>136</v>
      </c>
      <c r="J22" s="3" cm="1">
        <f t="array" ref="J22">SPDAM(D22,E22,G22)</f>
        <v>136</v>
      </c>
      <c r="K22" s="2">
        <f t="shared" si="7"/>
        <v>0.24</v>
      </c>
      <c r="L22" s="3">
        <f t="shared" si="8"/>
        <v>0.24</v>
      </c>
      <c r="R22" s="5" t="s">
        <v>17</v>
      </c>
      <c r="S22" s="1">
        <v>1</v>
      </c>
      <c r="T22" s="1">
        <v>1</v>
      </c>
      <c r="U22" s="1">
        <f>9.4*4*4</f>
        <v>150.4</v>
      </c>
      <c r="V22" s="1">
        <v>0.6</v>
      </c>
      <c r="W22" s="1">
        <v>3</v>
      </c>
      <c r="X22" s="1">
        <f t="shared" si="11"/>
        <v>1</v>
      </c>
      <c r="Y22" s="1">
        <v>0</v>
      </c>
      <c r="Z22" s="2" cm="1">
        <f t="array" ref="Z22">SPDAM(U22,V22,W22)</f>
        <v>294.78399999999999</v>
      </c>
      <c r="AA22" s="3" cm="1">
        <f t="array" ref="AA22">SPDAM(U22,V22,X22)</f>
        <v>150.4</v>
      </c>
      <c r="AB22" s="2">
        <f t="shared" si="9"/>
        <v>0</v>
      </c>
      <c r="AC22" s="3">
        <f t="shared" si="10"/>
        <v>0</v>
      </c>
    </row>
    <row r="23" spans="1:31">
      <c r="A23" s="8" t="s">
        <v>18</v>
      </c>
      <c r="B23" s="1">
        <v>1</v>
      </c>
      <c r="C23" s="1">
        <v>1</v>
      </c>
      <c r="D23" s="1">
        <v>30</v>
      </c>
      <c r="E23" s="1">
        <v>1</v>
      </c>
      <c r="F23" s="1">
        <v>10</v>
      </c>
      <c r="G23" s="1">
        <f t="shared" si="6"/>
        <v>1</v>
      </c>
      <c r="H23" s="1">
        <v>0.5</v>
      </c>
      <c r="I23" s="2" cm="1">
        <f t="array" ref="I23">SPDAM(D23,E23,F23)</f>
        <v>300</v>
      </c>
      <c r="J23" s="3" cm="1">
        <f t="array" ref="J23">SPDAM(D23,E23,G23)</f>
        <v>30</v>
      </c>
      <c r="K23" s="2">
        <f t="shared" si="7"/>
        <v>5</v>
      </c>
      <c r="L23" s="3">
        <f t="shared" si="8"/>
        <v>0.5</v>
      </c>
      <c r="R23" s="5" t="s">
        <v>18</v>
      </c>
      <c r="S23" s="1">
        <v>7</v>
      </c>
      <c r="T23" s="1">
        <v>1</v>
      </c>
      <c r="U23" s="1">
        <v>15</v>
      </c>
      <c r="V23" s="1">
        <v>1</v>
      </c>
      <c r="W23" s="1">
        <f>7*10</f>
        <v>70</v>
      </c>
      <c r="X23" s="1">
        <f t="shared" si="11"/>
        <v>7</v>
      </c>
      <c r="Y23" s="1">
        <v>0</v>
      </c>
      <c r="Z23" s="2" cm="1">
        <f t="array" ref="Z23">SPDAM(U23,V23,W23)</f>
        <v>1050</v>
      </c>
      <c r="AA23" s="3" cm="1">
        <f t="array" ref="AA23">SPDAM(U23,V23,X23)</f>
        <v>105</v>
      </c>
      <c r="AB23" s="2">
        <f t="shared" si="9"/>
        <v>0</v>
      </c>
      <c r="AC23" s="3">
        <f t="shared" si="10"/>
        <v>0</v>
      </c>
    </row>
    <row r="24" spans="1:31">
      <c r="A24" s="9" t="s">
        <v>28</v>
      </c>
      <c r="B24" s="10">
        <v>800</v>
      </c>
      <c r="C24" s="10">
        <v>5</v>
      </c>
      <c r="D24" s="10"/>
      <c r="E24" s="10">
        <v>1.2</v>
      </c>
      <c r="F24" s="10">
        <v>1</v>
      </c>
      <c r="G24" s="10">
        <v>1</v>
      </c>
      <c r="H24" s="10"/>
      <c r="I24" s="2"/>
      <c r="J24" s="3"/>
      <c r="K24" s="2"/>
      <c r="L24" s="3"/>
      <c r="R24" s="9" t="s">
        <v>28</v>
      </c>
      <c r="S24" s="10">
        <v>400</v>
      </c>
      <c r="T24" s="10">
        <v>10</v>
      </c>
      <c r="U24" s="10"/>
      <c r="V24" s="10">
        <v>0.9</v>
      </c>
      <c r="W24" s="10">
        <v>0.9</v>
      </c>
      <c r="X24" s="10">
        <v>0.9</v>
      </c>
      <c r="Y24" s="10"/>
      <c r="Z24" s="2"/>
      <c r="AA24" s="3"/>
      <c r="AB24" s="2"/>
      <c r="AC24" s="3"/>
    </row>
    <row r="27" spans="1:31">
      <c r="A27" s="6" t="s">
        <v>24</v>
      </c>
      <c r="B27" s="4" t="s">
        <v>12</v>
      </c>
      <c r="C27" s="4" t="s">
        <v>2</v>
      </c>
      <c r="D27" s="4" t="s">
        <v>1</v>
      </c>
      <c r="E27" s="4" t="s">
        <v>3</v>
      </c>
      <c r="F27" s="4" t="s">
        <v>4</v>
      </c>
      <c r="G27" s="4" t="s">
        <v>8</v>
      </c>
      <c r="H27" s="4" t="s">
        <v>11</v>
      </c>
      <c r="I27" s="4" t="s">
        <v>9</v>
      </c>
      <c r="J27" s="4" t="s">
        <v>10</v>
      </c>
      <c r="K27" s="4" t="s">
        <v>19</v>
      </c>
      <c r="L27" s="4" t="s">
        <v>20</v>
      </c>
      <c r="R27" s="6" t="s">
        <v>25</v>
      </c>
      <c r="S27" s="4" t="s">
        <v>12</v>
      </c>
      <c r="T27" s="4" t="s">
        <v>2</v>
      </c>
      <c r="U27" s="4" t="s">
        <v>1</v>
      </c>
      <c r="V27" s="4" t="s">
        <v>3</v>
      </c>
      <c r="W27" s="4" t="s">
        <v>4</v>
      </c>
      <c r="X27" s="4" t="s">
        <v>8</v>
      </c>
      <c r="Y27" s="4" t="s">
        <v>11</v>
      </c>
      <c r="Z27" s="4" t="s">
        <v>9</v>
      </c>
      <c r="AA27" s="4" t="s">
        <v>10</v>
      </c>
      <c r="AB27" s="4" t="s">
        <v>19</v>
      </c>
      <c r="AC27" s="4" t="s">
        <v>20</v>
      </c>
    </row>
    <row r="28" spans="1:31">
      <c r="A28" s="5" t="s">
        <v>5</v>
      </c>
      <c r="B28" s="1">
        <v>2</v>
      </c>
      <c r="C28" s="1">
        <v>1</v>
      </c>
      <c r="D28" s="1">
        <v>25</v>
      </c>
      <c r="E28" s="1">
        <v>1</v>
      </c>
      <c r="F28" s="1">
        <v>2</v>
      </c>
      <c r="G28" s="1">
        <f t="shared" ref="G28:G36" si="12">MIN(B28/C28,F28)</f>
        <v>2</v>
      </c>
      <c r="H28" s="1">
        <v>0</v>
      </c>
      <c r="I28" s="2" cm="1">
        <f t="array" ref="I28">SPDAM(D28,E28,F28)</f>
        <v>50</v>
      </c>
      <c r="J28" s="3" cm="1">
        <f t="array" ref="J28">SPDAM(D28,E28,G28)</f>
        <v>50</v>
      </c>
      <c r="K28" s="2">
        <f t="shared" ref="K28:K36" si="13">F28*H28</f>
        <v>0</v>
      </c>
      <c r="L28" s="3">
        <f t="shared" ref="L28:L36" si="14">G28*H28</f>
        <v>0</v>
      </c>
      <c r="R28" s="5" t="s">
        <v>5</v>
      </c>
      <c r="S28" s="1">
        <v>1</v>
      </c>
      <c r="T28" s="1">
        <v>1</v>
      </c>
      <c r="U28" s="1">
        <v>55</v>
      </c>
      <c r="V28" s="1">
        <v>1</v>
      </c>
      <c r="W28" s="1">
        <v>1</v>
      </c>
      <c r="X28" s="1">
        <f t="shared" ref="X28:X36" si="15">MIN(S28/T28,W28)</f>
        <v>1</v>
      </c>
      <c r="Y28" s="1">
        <v>0</v>
      </c>
      <c r="Z28" s="2" cm="1">
        <f t="array" ref="Z28">SPDAM(U28,V28,W28)</f>
        <v>55</v>
      </c>
      <c r="AA28" s="3" cm="1">
        <f t="array" ref="AA28">SPDAM(U28,V28,X28)</f>
        <v>55</v>
      </c>
      <c r="AB28" s="2">
        <f>W28*Y28</f>
        <v>0</v>
      </c>
      <c r="AC28" s="3">
        <f t="shared" ref="AC28:AC33" si="16">X28*Y28</f>
        <v>0</v>
      </c>
      <c r="AD28" s="2">
        <f>Z28+AB28</f>
        <v>55</v>
      </c>
      <c r="AE28" s="3">
        <f>AA28+AC28</f>
        <v>55</v>
      </c>
    </row>
    <row r="29" spans="1:31">
      <c r="A29" s="5" t="s">
        <v>6</v>
      </c>
      <c r="B29" s="1">
        <v>1</v>
      </c>
      <c r="C29" s="1">
        <v>1</v>
      </c>
      <c r="D29" s="1">
        <v>80</v>
      </c>
      <c r="E29" s="1">
        <v>1</v>
      </c>
      <c r="F29" s="1">
        <v>1</v>
      </c>
      <c r="G29" s="1">
        <f t="shared" si="12"/>
        <v>1</v>
      </c>
      <c r="H29" s="1">
        <v>0.1</v>
      </c>
      <c r="I29" s="2" cm="1">
        <f t="array" ref="I29">SPDAM(D29,E29,F29)</f>
        <v>80</v>
      </c>
      <c r="J29" s="3" cm="1">
        <f t="array" ref="J29">SPDAM(D29,E29,G29)</f>
        <v>80</v>
      </c>
      <c r="K29" s="2">
        <f t="shared" si="13"/>
        <v>0.1</v>
      </c>
      <c r="L29" s="3">
        <f t="shared" si="14"/>
        <v>0.1</v>
      </c>
      <c r="R29" s="5" t="s">
        <v>6</v>
      </c>
      <c r="S29" s="1">
        <v>1</v>
      </c>
      <c r="T29" s="1">
        <v>1</v>
      </c>
      <c r="U29" s="1">
        <v>84</v>
      </c>
      <c r="V29" s="1">
        <v>1</v>
      </c>
      <c r="W29" s="1">
        <v>1</v>
      </c>
      <c r="X29" s="1">
        <f t="shared" si="15"/>
        <v>1</v>
      </c>
      <c r="Y29" s="1">
        <v>0</v>
      </c>
      <c r="Z29" s="2" cm="1">
        <f t="array" ref="Z29">SPDAM(U29,V29,W29)</f>
        <v>84</v>
      </c>
      <c r="AA29" s="3" cm="1">
        <f t="array" ref="AA29">SPDAM(U29,V29,X29)</f>
        <v>84</v>
      </c>
      <c r="AB29" s="2">
        <f>W29*Y29</f>
        <v>0</v>
      </c>
      <c r="AC29" s="3">
        <f t="shared" si="16"/>
        <v>0</v>
      </c>
      <c r="AD29" s="2">
        <f>Z29+AB29</f>
        <v>84</v>
      </c>
      <c r="AE29" s="3">
        <f>AA29+AC29</f>
        <v>84</v>
      </c>
    </row>
    <row r="30" spans="1:31">
      <c r="A30" s="5" t="s">
        <v>7</v>
      </c>
      <c r="B30" s="1">
        <v>1</v>
      </c>
      <c r="C30" s="1">
        <v>1</v>
      </c>
      <c r="D30" s="1">
        <v>75</v>
      </c>
      <c r="E30" s="1">
        <v>1</v>
      </c>
      <c r="F30" s="1">
        <v>1</v>
      </c>
      <c r="G30" s="1">
        <f t="shared" si="12"/>
        <v>1</v>
      </c>
      <c r="H30" s="1">
        <v>0</v>
      </c>
      <c r="I30" s="2" cm="1">
        <f t="array" ref="I30">SPDAM(D30,E30,F30)</f>
        <v>75</v>
      </c>
      <c r="J30" s="3" cm="1">
        <f t="array" ref="J30">SPDAM(D30,E30,G30)</f>
        <v>75</v>
      </c>
      <c r="K30" s="2">
        <f t="shared" si="13"/>
        <v>0</v>
      </c>
      <c r="L30" s="3">
        <f t="shared" si="14"/>
        <v>0</v>
      </c>
      <c r="R30" s="5" t="s">
        <v>7</v>
      </c>
      <c r="S30" s="1">
        <v>1</v>
      </c>
      <c r="T30" s="1">
        <v>1</v>
      </c>
      <c r="U30" s="1">
        <v>0</v>
      </c>
      <c r="V30" s="1">
        <v>1</v>
      </c>
      <c r="W30" s="1">
        <v>1</v>
      </c>
      <c r="X30" s="1">
        <f t="shared" si="15"/>
        <v>1</v>
      </c>
      <c r="Y30" s="1">
        <v>1</v>
      </c>
      <c r="Z30" s="2" cm="1">
        <f t="array" ref="Z30">SPDAM(U30,V30,W30)</f>
        <v>0</v>
      </c>
      <c r="AA30" s="3" cm="1">
        <f t="array" ref="AA30">SPDAM(U30,V30,X30)</f>
        <v>0</v>
      </c>
      <c r="AB30" s="2">
        <f>W30*Y30</f>
        <v>1</v>
      </c>
      <c r="AC30" s="3">
        <f t="shared" si="16"/>
        <v>1</v>
      </c>
    </row>
    <row r="31" spans="1:31">
      <c r="A31" s="5" t="s">
        <v>13</v>
      </c>
      <c r="B31" s="1">
        <v>240</v>
      </c>
      <c r="C31" s="1">
        <v>30</v>
      </c>
      <c r="D31" s="1">
        <f>15*5</f>
        <v>75</v>
      </c>
      <c r="E31" s="1">
        <v>0.5</v>
      </c>
      <c r="F31" s="1">
        <v>3</v>
      </c>
      <c r="G31" s="1">
        <f t="shared" si="12"/>
        <v>3</v>
      </c>
      <c r="H31" s="1">
        <f>0.03*5</f>
        <v>0.15</v>
      </c>
      <c r="I31" s="2" cm="1">
        <f t="array" ref="I31">SPDAM(D31,E31,F31)</f>
        <v>131.25</v>
      </c>
      <c r="J31" s="3" cm="1">
        <f t="array" ref="J31">SPDAM(D31,E31,G31)</f>
        <v>131.25</v>
      </c>
      <c r="K31" s="2">
        <f t="shared" si="13"/>
        <v>0.44999999999999996</v>
      </c>
      <c r="L31" s="3">
        <f t="shared" si="14"/>
        <v>0.44999999999999996</v>
      </c>
      <c r="R31" s="5" t="s">
        <v>13</v>
      </c>
      <c r="S31" s="1">
        <v>1</v>
      </c>
      <c r="T31" s="1">
        <v>1</v>
      </c>
      <c r="U31" s="1">
        <v>0.3</v>
      </c>
      <c r="V31" s="1">
        <v>1</v>
      </c>
      <c r="W31" s="1">
        <v>5</v>
      </c>
      <c r="X31" s="1">
        <f t="shared" si="15"/>
        <v>1</v>
      </c>
      <c r="Y31" s="1">
        <v>1</v>
      </c>
      <c r="Z31" s="2" cm="1">
        <f t="array" ref="Z31">SPDAM(U31,V31,W31)</f>
        <v>1.5</v>
      </c>
      <c r="AA31" s="3" cm="1">
        <f t="array" ref="AA31">SPDAM(U31,V31,X31)</f>
        <v>0.3</v>
      </c>
      <c r="AB31" s="2">
        <f>AC31+Z31</f>
        <v>2.5</v>
      </c>
      <c r="AC31" s="3">
        <f t="shared" si="16"/>
        <v>1</v>
      </c>
    </row>
    <row r="32" spans="1:31">
      <c r="A32" s="5" t="s">
        <v>14</v>
      </c>
      <c r="B32" s="1">
        <v>3</v>
      </c>
      <c r="C32" s="1">
        <v>1</v>
      </c>
      <c r="D32" s="1">
        <v>18</v>
      </c>
      <c r="E32" s="1">
        <v>1</v>
      </c>
      <c r="F32" s="1">
        <v>3</v>
      </c>
      <c r="G32" s="1">
        <f t="shared" si="12"/>
        <v>3</v>
      </c>
      <c r="H32" s="1">
        <v>3.5000000000000003E-2</v>
      </c>
      <c r="I32" s="2" cm="1">
        <f t="array" ref="I32">SPDAM(D32,E32,F32)</f>
        <v>54</v>
      </c>
      <c r="J32" s="3" cm="1">
        <f t="array" ref="J32">SPDAM(D32,E32,G32)</f>
        <v>54</v>
      </c>
      <c r="K32" s="2">
        <f t="shared" si="13"/>
        <v>0.10500000000000001</v>
      </c>
      <c r="L32" s="3">
        <f t="shared" si="14"/>
        <v>0.10500000000000001</v>
      </c>
      <c r="R32" s="5" t="s">
        <v>14</v>
      </c>
      <c r="S32" s="1">
        <v>1</v>
      </c>
      <c r="T32" s="1">
        <v>1</v>
      </c>
      <c r="U32" s="1">
        <v>30</v>
      </c>
      <c r="V32" s="1">
        <v>0.4</v>
      </c>
      <c r="W32" s="1">
        <v>3</v>
      </c>
      <c r="X32" s="1">
        <f t="shared" si="15"/>
        <v>1</v>
      </c>
      <c r="Y32" s="1">
        <v>30</v>
      </c>
      <c r="Z32" s="2" cm="1">
        <f t="array" ref="Z32">SPDAM(U32,V32,W32)</f>
        <v>46.8</v>
      </c>
      <c r="AA32" s="3" cm="1">
        <f t="array" ref="AA32">SPDAM(U32,V32,X32)</f>
        <v>30</v>
      </c>
      <c r="AB32" s="2">
        <f>W32*Y32</f>
        <v>90</v>
      </c>
      <c r="AC32" s="3">
        <f t="shared" si="16"/>
        <v>30</v>
      </c>
      <c r="AD32" s="2">
        <f t="shared" ref="AD32:AE36" si="17">Z32+AB32</f>
        <v>136.80000000000001</v>
      </c>
      <c r="AE32" s="3">
        <f t="shared" si="17"/>
        <v>60</v>
      </c>
    </row>
    <row r="33" spans="1:31">
      <c r="A33" s="5" t="s">
        <v>15</v>
      </c>
      <c r="B33" s="1">
        <v>1</v>
      </c>
      <c r="C33" s="1">
        <v>1</v>
      </c>
      <c r="D33" s="1">
        <v>92</v>
      </c>
      <c r="E33" s="1">
        <v>0.8</v>
      </c>
      <c r="F33" s="1">
        <v>3</v>
      </c>
      <c r="G33" s="1">
        <f t="shared" si="12"/>
        <v>1</v>
      </c>
      <c r="H33" s="1">
        <v>0</v>
      </c>
      <c r="I33" s="2" cm="1">
        <f t="array" ref="I33">SPDAM(D33,E33,F33)</f>
        <v>224.48</v>
      </c>
      <c r="J33" s="3" cm="1">
        <f t="array" ref="J33">SPDAM(D33,E33,G33)</f>
        <v>92</v>
      </c>
      <c r="K33" s="2">
        <f t="shared" si="13"/>
        <v>0</v>
      </c>
      <c r="L33" s="3">
        <f t="shared" si="14"/>
        <v>0</v>
      </c>
      <c r="R33" s="5" t="s">
        <v>15</v>
      </c>
      <c r="S33" s="1">
        <v>1</v>
      </c>
      <c r="T33" s="1">
        <v>1</v>
      </c>
      <c r="U33" s="1">
        <f>10*7</f>
        <v>70</v>
      </c>
      <c r="V33" s="1">
        <v>0.5</v>
      </c>
      <c r="W33" s="1">
        <v>4</v>
      </c>
      <c r="X33" s="1">
        <f t="shared" si="15"/>
        <v>1</v>
      </c>
      <c r="Y33" s="1">
        <f>5*7</f>
        <v>35</v>
      </c>
      <c r="Z33" s="2" cm="1">
        <f t="array" ref="Z33">SPDAM(U33,V33,W33)</f>
        <v>131.25</v>
      </c>
      <c r="AA33" s="3" cm="1">
        <f t="array" ref="AA33">SPDAM(U33,V33,X33)</f>
        <v>70</v>
      </c>
      <c r="AB33" s="2">
        <f>W33*Y33</f>
        <v>140</v>
      </c>
      <c r="AC33" s="3">
        <f t="shared" si="16"/>
        <v>35</v>
      </c>
      <c r="AD33" s="2">
        <f t="shared" si="17"/>
        <v>271.25</v>
      </c>
      <c r="AE33" s="3">
        <f t="shared" si="17"/>
        <v>105</v>
      </c>
    </row>
    <row r="34" spans="1:31">
      <c r="A34" s="5" t="s">
        <v>16</v>
      </c>
      <c r="B34" s="1">
        <v>3.5</v>
      </c>
      <c r="C34" s="1">
        <v>3.5</v>
      </c>
      <c r="D34" s="1">
        <v>100</v>
      </c>
      <c r="E34" s="1">
        <v>1</v>
      </c>
      <c r="F34" s="1">
        <v>6</v>
      </c>
      <c r="G34" s="1">
        <f t="shared" si="12"/>
        <v>1</v>
      </c>
      <c r="H34" s="1">
        <v>0</v>
      </c>
      <c r="I34" s="2" cm="1">
        <f t="array" ref="I34">SPDAM(D34,E34,F34)</f>
        <v>600</v>
      </c>
      <c r="J34" s="3" cm="1">
        <f t="array" ref="J34">SPDAM(D34,E34,G34)</f>
        <v>100</v>
      </c>
      <c r="K34" s="2">
        <f t="shared" si="13"/>
        <v>0</v>
      </c>
      <c r="L34" s="3">
        <f t="shared" si="14"/>
        <v>0</v>
      </c>
      <c r="R34" s="5" t="s">
        <v>16</v>
      </c>
      <c r="S34" s="1">
        <v>75</v>
      </c>
      <c r="T34" s="1">
        <v>5</v>
      </c>
      <c r="U34" s="1">
        <v>10</v>
      </c>
      <c r="V34" s="1">
        <v>0.9</v>
      </c>
      <c r="W34" s="1">
        <v>10</v>
      </c>
      <c r="X34" s="1">
        <f t="shared" si="15"/>
        <v>10</v>
      </c>
      <c r="Y34" s="1">
        <v>70</v>
      </c>
      <c r="Z34" s="2" cm="1">
        <f t="array" ref="Z34">SPDAM(U34,V34,W34)</f>
        <v>65.132155990000001</v>
      </c>
      <c r="AA34" s="3" cm="1">
        <f t="array" ref="AA34">SPDAM(U34,V34,X34)</f>
        <v>65.132155990000001</v>
      </c>
      <c r="AB34" s="2">
        <f>W34*Y34</f>
        <v>700</v>
      </c>
      <c r="AC34" s="3">
        <f>Y34</f>
        <v>70</v>
      </c>
      <c r="AD34" s="2">
        <f t="shared" si="17"/>
        <v>765.13215599</v>
      </c>
      <c r="AE34" s="3">
        <f t="shared" si="17"/>
        <v>135.13215599</v>
      </c>
    </row>
    <row r="35" spans="1:31">
      <c r="A35" s="5" t="s">
        <v>17</v>
      </c>
      <c r="B35" s="1">
        <v>1</v>
      </c>
      <c r="C35" s="1">
        <v>1</v>
      </c>
      <c r="D35" s="1">
        <v>110</v>
      </c>
      <c r="E35" s="1">
        <v>0.8</v>
      </c>
      <c r="F35" s="1">
        <v>3</v>
      </c>
      <c r="G35" s="1">
        <f t="shared" si="12"/>
        <v>1</v>
      </c>
      <c r="H35" s="1">
        <v>0.4</v>
      </c>
      <c r="I35" s="2" cm="1">
        <f t="array" ref="I35">SPDAM(D35,E35,F35)</f>
        <v>268.39999999999998</v>
      </c>
      <c r="J35" s="3" cm="1">
        <f t="array" ref="J35">SPDAM(D35,E35,G35)</f>
        <v>110</v>
      </c>
      <c r="K35" s="2">
        <f t="shared" si="13"/>
        <v>1.2000000000000002</v>
      </c>
      <c r="L35" s="3">
        <f t="shared" si="14"/>
        <v>0.4</v>
      </c>
      <c r="R35" s="5" t="s">
        <v>17</v>
      </c>
      <c r="S35" s="1">
        <f>120*4</f>
        <v>480</v>
      </c>
      <c r="T35" s="1">
        <v>18</v>
      </c>
      <c r="U35" s="1">
        <v>5</v>
      </c>
      <c r="V35" s="1">
        <v>1</v>
      </c>
      <c r="W35" s="1">
        <v>400</v>
      </c>
      <c r="X35" s="1">
        <f t="shared" si="15"/>
        <v>26.666666666666668</v>
      </c>
      <c r="Y35" s="1">
        <v>5</v>
      </c>
      <c r="Z35" s="2" cm="1">
        <f t="array" ref="Z35">SPDAM(U35,V35,W35)</f>
        <v>2000</v>
      </c>
      <c r="AA35" s="3" cm="1">
        <f t="array" ref="AA35">SPDAM(U35,V35,X35)</f>
        <v>133.33333333333334</v>
      </c>
      <c r="AB35" s="2">
        <f>W35*Y35</f>
        <v>2000</v>
      </c>
      <c r="AC35" s="3">
        <f>X35*Y35</f>
        <v>133.33333333333334</v>
      </c>
      <c r="AD35" s="2">
        <f t="shared" si="17"/>
        <v>4000</v>
      </c>
      <c r="AE35" s="3">
        <f t="shared" si="17"/>
        <v>266.66666666666669</v>
      </c>
    </row>
    <row r="36" spans="1:31">
      <c r="A36" s="5" t="s">
        <v>18</v>
      </c>
      <c r="B36" s="1">
        <v>1</v>
      </c>
      <c r="C36" s="1">
        <v>1</v>
      </c>
      <c r="D36" s="1">
        <v>200</v>
      </c>
      <c r="E36" s="1">
        <v>1</v>
      </c>
      <c r="F36" s="1">
        <v>1</v>
      </c>
      <c r="G36" s="1">
        <f t="shared" si="12"/>
        <v>1</v>
      </c>
      <c r="H36" s="1">
        <v>0.5</v>
      </c>
      <c r="I36" s="2" cm="1">
        <f t="array" ref="I36">SPDAM(D36,E36,F36)</f>
        <v>200</v>
      </c>
      <c r="J36" s="3" cm="1">
        <f t="array" ref="J36">SPDAM(D36,E36,G36)</f>
        <v>200</v>
      </c>
      <c r="K36" s="2">
        <f t="shared" si="13"/>
        <v>0.5</v>
      </c>
      <c r="L36" s="3">
        <f t="shared" si="14"/>
        <v>0.5</v>
      </c>
      <c r="R36" s="5" t="s">
        <v>18</v>
      </c>
      <c r="S36" s="1">
        <v>1</v>
      </c>
      <c r="T36" s="1">
        <v>1</v>
      </c>
      <c r="U36" s="1">
        <v>60</v>
      </c>
      <c r="V36" s="1">
        <v>0.9</v>
      </c>
      <c r="W36" s="1">
        <v>4</v>
      </c>
      <c r="X36" s="1">
        <f t="shared" si="15"/>
        <v>1</v>
      </c>
      <c r="Y36" s="1">
        <v>70</v>
      </c>
      <c r="Z36" s="2" cm="1">
        <f t="array" ref="Z36">SPDAM(U36,V36,W36)</f>
        <v>206.34000000000003</v>
      </c>
      <c r="AA36" s="3" cm="1">
        <f t="array" ref="AA36">SPDAM(U36,V36,X36)</f>
        <v>60</v>
      </c>
      <c r="AB36" s="2">
        <f>W36*Y36</f>
        <v>280</v>
      </c>
      <c r="AC36" s="3">
        <f>X36*Y36</f>
        <v>70</v>
      </c>
      <c r="AD36" s="2">
        <f t="shared" si="17"/>
        <v>486.34000000000003</v>
      </c>
      <c r="AE36" s="3">
        <f t="shared" si="17"/>
        <v>130</v>
      </c>
    </row>
    <row r="37" spans="1:31">
      <c r="A37" s="9" t="s">
        <v>28</v>
      </c>
      <c r="B37" s="10">
        <v>950</v>
      </c>
      <c r="C37" s="10">
        <v>3</v>
      </c>
      <c r="D37" s="10"/>
      <c r="E37" s="10">
        <v>1.2</v>
      </c>
      <c r="F37" s="10">
        <v>1.2</v>
      </c>
      <c r="G37" s="10">
        <v>1.2</v>
      </c>
      <c r="H37" s="10"/>
      <c r="I37" s="2"/>
      <c r="J37" s="3"/>
      <c r="K37" s="2"/>
      <c r="L37" s="3"/>
      <c r="R37" s="9" t="s">
        <v>28</v>
      </c>
      <c r="S37" s="10">
        <v>800</v>
      </c>
      <c r="T37" s="10">
        <v>6</v>
      </c>
      <c r="U37" s="10"/>
      <c r="V37" s="10">
        <v>1.2</v>
      </c>
      <c r="W37" s="10">
        <v>1</v>
      </c>
      <c r="X37" s="10">
        <v>1</v>
      </c>
      <c r="Y37" s="10"/>
      <c r="Z37" s="2"/>
      <c r="AA37" s="3"/>
      <c r="AB37" s="2"/>
      <c r="AC37" s="3"/>
    </row>
    <row r="40" spans="1:31">
      <c r="A40" s="6" t="s">
        <v>26</v>
      </c>
      <c r="B40" s="4" t="s">
        <v>12</v>
      </c>
      <c r="C40" s="4" t="s">
        <v>2</v>
      </c>
      <c r="D40" s="4" t="s">
        <v>1</v>
      </c>
      <c r="E40" s="4" t="s">
        <v>3</v>
      </c>
      <c r="F40" s="4" t="s">
        <v>4</v>
      </c>
      <c r="G40" s="4" t="s">
        <v>8</v>
      </c>
      <c r="H40" s="4" t="s">
        <v>11</v>
      </c>
      <c r="I40" s="4" t="s">
        <v>9</v>
      </c>
      <c r="J40" s="4" t="s">
        <v>10</v>
      </c>
      <c r="K40" s="4" t="s">
        <v>19</v>
      </c>
      <c r="L40" s="4" t="s">
        <v>20</v>
      </c>
      <c r="R40" s="6" t="s">
        <v>27</v>
      </c>
      <c r="S40" s="4" t="s">
        <v>12</v>
      </c>
      <c r="T40" s="4" t="s">
        <v>2</v>
      </c>
      <c r="U40" s="4" t="s">
        <v>1</v>
      </c>
      <c r="V40" s="4" t="s">
        <v>3</v>
      </c>
      <c r="W40" s="4" t="s">
        <v>4</v>
      </c>
      <c r="X40" s="4" t="s">
        <v>8</v>
      </c>
      <c r="Y40" s="4" t="s">
        <v>11</v>
      </c>
      <c r="Z40" s="4" t="s">
        <v>9</v>
      </c>
      <c r="AA40" s="4" t="s">
        <v>10</v>
      </c>
      <c r="AB40" s="4" t="s">
        <v>19</v>
      </c>
      <c r="AC40" s="4" t="s">
        <v>20</v>
      </c>
    </row>
    <row r="41" spans="1:31">
      <c r="A41" s="5" t="s">
        <v>5</v>
      </c>
      <c r="B41" s="1">
        <v>1</v>
      </c>
      <c r="C41" s="1">
        <v>1</v>
      </c>
      <c r="D41" s="1">
        <v>33</v>
      </c>
      <c r="E41" s="1">
        <v>1</v>
      </c>
      <c r="F41" s="1">
        <v>1</v>
      </c>
      <c r="G41" s="1">
        <f t="shared" ref="G41:G47" si="18">MIN(B41/C41,F41)</f>
        <v>1</v>
      </c>
      <c r="H41" s="1">
        <v>33</v>
      </c>
      <c r="I41" s="2" cm="1">
        <f t="array" ref="I41">SPDAM(D41,E41,F41)</f>
        <v>33</v>
      </c>
      <c r="J41" s="3" cm="1">
        <f t="array" ref="J41">SPDAM(D41,E41,G41)</f>
        <v>33</v>
      </c>
      <c r="K41" s="2">
        <f>F41*H41</f>
        <v>33</v>
      </c>
      <c r="L41" s="3">
        <f>G41*H41</f>
        <v>33</v>
      </c>
      <c r="M41" s="2">
        <f t="shared" ref="M41:N43" si="19">I41+K41</f>
        <v>66</v>
      </c>
      <c r="N41" s="3">
        <f t="shared" si="19"/>
        <v>66</v>
      </c>
      <c r="R41" s="5" t="s">
        <v>5</v>
      </c>
      <c r="S41" s="1">
        <v>3</v>
      </c>
      <c r="T41" s="1">
        <v>1</v>
      </c>
      <c r="U41" s="1">
        <v>18</v>
      </c>
      <c r="V41" s="1">
        <v>1</v>
      </c>
      <c r="W41" s="1">
        <v>3</v>
      </c>
      <c r="X41" s="1">
        <f t="shared" ref="X41:X49" si="20">MIN(S41/T41,W41)</f>
        <v>3</v>
      </c>
      <c r="Y41" s="1">
        <v>0.04</v>
      </c>
      <c r="Z41" s="2" cm="1">
        <f t="array" ref="Z41">SPDAM(U41,V41,W41)</f>
        <v>54</v>
      </c>
      <c r="AA41" s="3" cm="1">
        <f t="array" ref="AA41">SPDAM(U41,V41,X41)</f>
        <v>54</v>
      </c>
      <c r="AB41" s="2">
        <f t="shared" ref="AB41:AB48" si="21">W41*Y41</f>
        <v>0.12</v>
      </c>
      <c r="AC41" s="3">
        <f t="shared" ref="AC41:AC48" si="22">X41*Y41</f>
        <v>0.12</v>
      </c>
    </row>
    <row r="42" spans="1:31">
      <c r="A42" s="5" t="s">
        <v>6</v>
      </c>
      <c r="B42" s="1">
        <v>2</v>
      </c>
      <c r="C42" s="1">
        <v>1</v>
      </c>
      <c r="D42" s="1">
        <v>25</v>
      </c>
      <c r="E42" s="1">
        <v>1</v>
      </c>
      <c r="F42" s="1">
        <v>2</v>
      </c>
      <c r="G42" s="1">
        <f t="shared" si="18"/>
        <v>2</v>
      </c>
      <c r="H42" s="1">
        <v>25</v>
      </c>
      <c r="I42" s="2" cm="1">
        <f t="array" ref="I42">SPDAM(D42,E42,F42)</f>
        <v>50</v>
      </c>
      <c r="J42" s="3" cm="1">
        <f t="array" ref="J42">SPDAM(D42,E42,G42)</f>
        <v>50</v>
      </c>
      <c r="K42" s="2">
        <f>F42*H42</f>
        <v>50</v>
      </c>
      <c r="L42" s="3">
        <f>G42*H42</f>
        <v>50</v>
      </c>
      <c r="M42" s="2">
        <f t="shared" si="19"/>
        <v>100</v>
      </c>
      <c r="N42" s="3">
        <f t="shared" si="19"/>
        <v>100</v>
      </c>
      <c r="R42" s="5" t="s">
        <v>6</v>
      </c>
      <c r="S42" s="1">
        <v>10</v>
      </c>
      <c r="T42" s="1">
        <v>1</v>
      </c>
      <c r="U42" s="1">
        <v>8</v>
      </c>
      <c r="V42" s="1">
        <v>1</v>
      </c>
      <c r="W42" s="1">
        <v>10</v>
      </c>
      <c r="X42" s="1">
        <f t="shared" si="20"/>
        <v>10</v>
      </c>
      <c r="Y42" s="1">
        <v>0.02</v>
      </c>
      <c r="Z42" s="2" cm="1">
        <f t="array" ref="Z42">SPDAM(U42,V42,W42)</f>
        <v>80</v>
      </c>
      <c r="AA42" s="3" cm="1">
        <f t="array" ref="AA42">SPDAM(U42,V42,X42)</f>
        <v>80</v>
      </c>
      <c r="AB42" s="2">
        <f t="shared" si="21"/>
        <v>0.2</v>
      </c>
      <c r="AC42" s="3">
        <f t="shared" si="22"/>
        <v>0.2</v>
      </c>
    </row>
    <row r="43" spans="1:31">
      <c r="A43" s="5" t="s">
        <v>7</v>
      </c>
      <c r="B43" s="1">
        <v>1</v>
      </c>
      <c r="C43" s="1">
        <v>1</v>
      </c>
      <c r="D43" s="1">
        <v>33</v>
      </c>
      <c r="E43" s="1">
        <v>1</v>
      </c>
      <c r="F43" s="1">
        <v>1</v>
      </c>
      <c r="G43" s="1">
        <f t="shared" si="18"/>
        <v>1</v>
      </c>
      <c r="H43" s="1">
        <v>33</v>
      </c>
      <c r="I43" s="2" cm="1">
        <f t="array" ref="I43">SPDAM(D43,E43,F43)</f>
        <v>33</v>
      </c>
      <c r="J43" s="3" cm="1">
        <f t="array" ref="J43">SPDAM(D43,E43,G43)</f>
        <v>33</v>
      </c>
      <c r="K43" s="2">
        <f>F43*H43</f>
        <v>33</v>
      </c>
      <c r="L43" s="3">
        <f>G43*H43</f>
        <v>33</v>
      </c>
      <c r="M43" s="2">
        <f t="shared" si="19"/>
        <v>66</v>
      </c>
      <c r="N43" s="3">
        <f t="shared" si="19"/>
        <v>66</v>
      </c>
      <c r="R43" s="5" t="s">
        <v>7</v>
      </c>
      <c r="S43" s="1">
        <v>1</v>
      </c>
      <c r="T43" s="1">
        <v>1</v>
      </c>
      <c r="U43" s="1">
        <v>27</v>
      </c>
      <c r="V43" s="1">
        <v>1</v>
      </c>
      <c r="W43" s="1">
        <v>4</v>
      </c>
      <c r="X43" s="1">
        <f t="shared" si="20"/>
        <v>1</v>
      </c>
      <c r="Y43" s="1">
        <v>0</v>
      </c>
      <c r="Z43" s="2" cm="1">
        <f t="array" ref="Z43">SPDAM(U43,V43,W43)</f>
        <v>108</v>
      </c>
      <c r="AA43" s="3" cm="1">
        <f t="array" ref="AA43">SPDAM(U43,V43,X43)</f>
        <v>27</v>
      </c>
      <c r="AB43" s="2">
        <f t="shared" si="21"/>
        <v>0</v>
      </c>
      <c r="AC43" s="3">
        <f t="shared" si="22"/>
        <v>0</v>
      </c>
    </row>
    <row r="44" spans="1:31">
      <c r="A44" s="5" t="s">
        <v>13</v>
      </c>
      <c r="B44" s="1">
        <v>2.5</v>
      </c>
      <c r="C44" s="1">
        <v>2.5</v>
      </c>
      <c r="D44" s="1">
        <v>55</v>
      </c>
      <c r="E44" s="1">
        <v>1</v>
      </c>
      <c r="F44" s="1">
        <v>6</v>
      </c>
      <c r="G44" s="1">
        <f t="shared" si="18"/>
        <v>1</v>
      </c>
      <c r="H44" s="1">
        <v>25</v>
      </c>
      <c r="I44" s="2" cm="1">
        <f t="array" ref="I44">SPDAM(D44,E44,F44)</f>
        <v>330</v>
      </c>
      <c r="J44" s="3" cm="1">
        <f t="array" ref="J44">SPDAM(D44,E44,G44)</f>
        <v>55</v>
      </c>
      <c r="K44" s="2">
        <f>2*H44</f>
        <v>50</v>
      </c>
      <c r="L44" s="3">
        <f>2*H44</f>
        <v>50</v>
      </c>
      <c r="M44" s="2">
        <f>K44</f>
        <v>50</v>
      </c>
      <c r="N44" s="3">
        <f>L44</f>
        <v>50</v>
      </c>
      <c r="R44" s="5" t="s">
        <v>13</v>
      </c>
      <c r="S44" s="1">
        <v>1</v>
      </c>
      <c r="T44" s="1">
        <v>1</v>
      </c>
      <c r="U44" s="1">
        <v>50</v>
      </c>
      <c r="V44" s="1">
        <v>0.95</v>
      </c>
      <c r="W44" s="1">
        <v>3</v>
      </c>
      <c r="X44" s="1">
        <f t="shared" si="20"/>
        <v>1</v>
      </c>
      <c r="Y44" s="1">
        <v>0</v>
      </c>
      <c r="Z44" s="2" cm="1">
        <f t="array" ref="Z44">SPDAM(U44,V44,W44)</f>
        <v>142.625</v>
      </c>
      <c r="AA44" s="3" cm="1">
        <f t="array" ref="AA44">SPDAM(U44,V44,X44)</f>
        <v>50</v>
      </c>
      <c r="AB44" s="2">
        <f t="shared" si="21"/>
        <v>0</v>
      </c>
      <c r="AC44" s="3">
        <f t="shared" si="22"/>
        <v>0</v>
      </c>
    </row>
    <row r="45" spans="1:31">
      <c r="A45" s="5" t="s">
        <v>14</v>
      </c>
      <c r="B45" s="1">
        <v>1</v>
      </c>
      <c r="C45" s="1">
        <v>1</v>
      </c>
      <c r="D45" s="1">
        <v>44</v>
      </c>
      <c r="E45" s="1">
        <v>0.5</v>
      </c>
      <c r="F45" s="1">
        <v>3</v>
      </c>
      <c r="G45" s="1">
        <f t="shared" si="18"/>
        <v>1</v>
      </c>
      <c r="H45" s="1">
        <v>44</v>
      </c>
      <c r="I45" s="2" cm="1">
        <f t="array" ref="I45">SPDAM(D45,E45,F45)</f>
        <v>77</v>
      </c>
      <c r="J45" s="3" cm="1">
        <f t="array" ref="J45">SPDAM(D45,E45,G45)</f>
        <v>44</v>
      </c>
      <c r="K45" s="2" cm="1">
        <f t="array" ref="K45">SPDAM(H45,E45,F45)</f>
        <v>77</v>
      </c>
      <c r="L45" s="3">
        <f>G45*H45</f>
        <v>44</v>
      </c>
      <c r="M45" s="2">
        <f>I45+K45</f>
        <v>154</v>
      </c>
      <c r="N45" s="3">
        <f>J45+L45</f>
        <v>88</v>
      </c>
      <c r="R45" s="5" t="s">
        <v>14</v>
      </c>
      <c r="S45" s="1">
        <v>4</v>
      </c>
      <c r="T45" s="1">
        <v>1</v>
      </c>
      <c r="U45" s="1">
        <v>20</v>
      </c>
      <c r="V45" s="1">
        <v>1</v>
      </c>
      <c r="W45" s="1">
        <v>4</v>
      </c>
      <c r="X45" s="1">
        <f t="shared" si="20"/>
        <v>4</v>
      </c>
      <c r="Y45" s="1">
        <v>-27</v>
      </c>
      <c r="Z45" s="2" cm="1">
        <f t="array" ref="Z45">SPDAM(U45,V45,W45)</f>
        <v>80</v>
      </c>
      <c r="AA45" s="3" cm="1">
        <f t="array" ref="AA45">SPDAM(U45,V45,X45)</f>
        <v>80</v>
      </c>
      <c r="AB45" s="2">
        <f t="shared" si="21"/>
        <v>-108</v>
      </c>
      <c r="AC45" s="3">
        <f t="shared" si="22"/>
        <v>-108</v>
      </c>
      <c r="AD45" t="s">
        <v>29</v>
      </c>
    </row>
    <row r="46" spans="1:31">
      <c r="A46" s="5" t="s">
        <v>15</v>
      </c>
      <c r="B46" s="1">
        <v>1</v>
      </c>
      <c r="C46" s="1">
        <v>1</v>
      </c>
      <c r="D46" s="1">
        <f>44*3</f>
        <v>132</v>
      </c>
      <c r="E46" s="1">
        <v>0.5</v>
      </c>
      <c r="F46" s="1">
        <v>3</v>
      </c>
      <c r="G46" s="1">
        <f t="shared" ref="G46" si="23">MIN(B46/C46,F46)</f>
        <v>1</v>
      </c>
      <c r="H46" s="1">
        <v>0</v>
      </c>
      <c r="I46" s="2" cm="1">
        <f t="array" ref="I46">SPDAM(D46,E46,F46)</f>
        <v>231</v>
      </c>
      <c r="J46" s="3" cm="1">
        <f t="array" ref="J46">SPDAM(D46,E46,G46)</f>
        <v>132</v>
      </c>
      <c r="K46" s="2">
        <f>33*6</f>
        <v>198</v>
      </c>
      <c r="L46" s="3">
        <f>G46*H46</f>
        <v>0</v>
      </c>
      <c r="R46" s="5" t="s">
        <v>15</v>
      </c>
      <c r="S46" s="1">
        <v>1</v>
      </c>
      <c r="T46" s="1">
        <v>1</v>
      </c>
      <c r="U46" s="1">
        <v>44</v>
      </c>
      <c r="V46" s="1">
        <v>0.5</v>
      </c>
      <c r="W46" s="1">
        <v>3</v>
      </c>
      <c r="X46" s="1">
        <f t="shared" si="20"/>
        <v>1</v>
      </c>
      <c r="Y46" s="1">
        <v>20</v>
      </c>
      <c r="Z46" s="2" cm="1">
        <f t="array" ref="Z46">SPDAM(U46,V46,W46)</f>
        <v>77</v>
      </c>
      <c r="AA46" s="3" cm="1">
        <f t="array" ref="AA46">SPDAM(U46,V46,X46)</f>
        <v>44</v>
      </c>
      <c r="AB46" s="2">
        <f t="shared" si="21"/>
        <v>60</v>
      </c>
      <c r="AC46" s="3">
        <f t="shared" si="22"/>
        <v>20</v>
      </c>
      <c r="AD46" t="s">
        <v>30</v>
      </c>
    </row>
    <row r="47" spans="1:31">
      <c r="A47" s="5" t="s">
        <v>16</v>
      </c>
      <c r="B47" s="1">
        <v>4.5</v>
      </c>
      <c r="C47" s="1">
        <v>4.5</v>
      </c>
      <c r="D47" s="1">
        <f>77*1.25</f>
        <v>96.25</v>
      </c>
      <c r="E47" s="1">
        <v>1</v>
      </c>
      <c r="F47" s="1">
        <v>3</v>
      </c>
      <c r="G47" s="1">
        <f t="shared" si="18"/>
        <v>1</v>
      </c>
      <c r="H47" s="1">
        <v>0</v>
      </c>
      <c r="I47" s="2" cm="1">
        <f t="array" ref="I47">SPDAM(D47,E47,F47)</f>
        <v>288.75</v>
      </c>
      <c r="J47" s="3" cm="1">
        <f t="array" ref="J47">SPDAM(D47,E47,G47)</f>
        <v>96.25</v>
      </c>
      <c r="K47" s="2">
        <f>33*6*1.25</f>
        <v>247.5</v>
      </c>
      <c r="L47" s="3">
        <f>G47*H47</f>
        <v>0</v>
      </c>
      <c r="R47" s="5" t="s">
        <v>16</v>
      </c>
      <c r="S47" s="1">
        <v>1</v>
      </c>
      <c r="T47" s="1">
        <v>1</v>
      </c>
      <c r="U47" s="1">
        <v>33</v>
      </c>
      <c r="V47" s="1">
        <v>1</v>
      </c>
      <c r="W47" s="1">
        <v>6</v>
      </c>
      <c r="X47" s="1">
        <f t="shared" si="20"/>
        <v>1</v>
      </c>
      <c r="Y47" s="1">
        <v>0.5</v>
      </c>
      <c r="Z47" s="2" cm="1">
        <f t="array" ref="Z47">SPDAM(U47,V47,W47)</f>
        <v>198</v>
      </c>
      <c r="AA47" s="3" cm="1">
        <f t="array" ref="AA47">SPDAM(U47,V47,X47)</f>
        <v>33</v>
      </c>
      <c r="AB47" s="2">
        <f t="shared" si="21"/>
        <v>3</v>
      </c>
      <c r="AC47" s="3">
        <f t="shared" si="22"/>
        <v>0.5</v>
      </c>
      <c r="AD47" t="s">
        <v>31</v>
      </c>
    </row>
    <row r="48" spans="1:31">
      <c r="A48" s="5" t="s">
        <v>17</v>
      </c>
      <c r="B48" s="1">
        <v>1</v>
      </c>
      <c r="C48" s="1">
        <v>1</v>
      </c>
      <c r="D48" s="1">
        <v>77</v>
      </c>
      <c r="E48" s="1">
        <v>0.5</v>
      </c>
      <c r="F48" s="1">
        <v>3</v>
      </c>
      <c r="G48" s="1">
        <f t="shared" ref="G48:G49" si="24">MIN(B48/C48,F48)</f>
        <v>1</v>
      </c>
      <c r="H48" s="1">
        <v>77</v>
      </c>
      <c r="I48" s="2" cm="1">
        <f t="array" ref="I48">SPDAM(D48,E48,F48)</f>
        <v>134.75</v>
      </c>
      <c r="J48" s="3" cm="1">
        <f t="array" ref="J48">SPDAM(D48,E48,G48)</f>
        <v>77</v>
      </c>
      <c r="K48" s="2" cm="1">
        <f t="array" ref="K48">SPDAM(H48,E48,F48)</f>
        <v>134.75</v>
      </c>
      <c r="L48" s="3">
        <f>G48*H48</f>
        <v>77</v>
      </c>
      <c r="M48" s="2">
        <f>I48+K48</f>
        <v>269.5</v>
      </c>
      <c r="N48" s="3">
        <f>J48+L48</f>
        <v>154</v>
      </c>
      <c r="R48" s="5" t="s">
        <v>17</v>
      </c>
      <c r="S48" s="1">
        <v>1</v>
      </c>
      <c r="T48" s="1">
        <v>1</v>
      </c>
      <c r="U48" s="1">
        <v>50</v>
      </c>
      <c r="V48" s="1">
        <v>1</v>
      </c>
      <c r="W48" s="1">
        <v>10</v>
      </c>
      <c r="X48" s="1">
        <f t="shared" si="20"/>
        <v>1</v>
      </c>
      <c r="Y48" s="1">
        <v>0.1</v>
      </c>
      <c r="Z48" s="2" cm="1">
        <f t="array" ref="Z48">SPDAM(U48,V48,W48)</f>
        <v>500</v>
      </c>
      <c r="AA48" s="3" cm="1">
        <f t="array" ref="AA48">SPDAM(U48,V48,X48)</f>
        <v>50</v>
      </c>
      <c r="AB48" s="2">
        <f t="shared" si="21"/>
        <v>1</v>
      </c>
      <c r="AC48" s="3">
        <f t="shared" si="22"/>
        <v>0.1</v>
      </c>
      <c r="AD48" t="s">
        <v>31</v>
      </c>
    </row>
    <row r="49" spans="1:31">
      <c r="A49" s="5" t="s">
        <v>18</v>
      </c>
      <c r="B49" s="1">
        <v>6</v>
      </c>
      <c r="C49" s="1">
        <v>1</v>
      </c>
      <c r="D49" s="1">
        <v>22</v>
      </c>
      <c r="E49" s="1">
        <v>1</v>
      </c>
      <c r="F49" s="1">
        <v>6</v>
      </c>
      <c r="G49" s="1">
        <f t="shared" si="24"/>
        <v>6</v>
      </c>
      <c r="H49" s="1">
        <v>22</v>
      </c>
      <c r="I49" s="2" cm="1">
        <f t="array" ref="I49">SPDAM(D49,E49,F49)</f>
        <v>132</v>
      </c>
      <c r="J49" s="3" cm="1">
        <f t="array" ref="J49">SPDAM(D49,E49,G49)</f>
        <v>132</v>
      </c>
      <c r="K49" s="2">
        <f>F49*H49</f>
        <v>132</v>
      </c>
      <c r="L49" s="3">
        <f>G49*H49</f>
        <v>132</v>
      </c>
      <c r="M49" s="2">
        <f>I49+K49</f>
        <v>264</v>
      </c>
      <c r="N49" s="3">
        <f>J49+L49</f>
        <v>264</v>
      </c>
      <c r="R49" s="5" t="s">
        <v>18</v>
      </c>
      <c r="S49" s="1">
        <v>120</v>
      </c>
      <c r="T49" s="1">
        <v>20</v>
      </c>
      <c r="U49" s="1">
        <v>11</v>
      </c>
      <c r="V49" s="1">
        <v>0.95</v>
      </c>
      <c r="W49" s="1">
        <v>40</v>
      </c>
      <c r="X49" s="1">
        <f t="shared" si="20"/>
        <v>6</v>
      </c>
      <c r="Y49" s="1">
        <v>0</v>
      </c>
      <c r="Z49" s="2" cm="1">
        <f t="array" ref="Z49">SPDAM(U49,V49,W49)</f>
        <v>191.72732555567717</v>
      </c>
      <c r="AA49" s="3" cm="1">
        <f t="array" ref="AA49">SPDAM(U49,V49,X49)</f>
        <v>58.279784062499999</v>
      </c>
      <c r="AB49" s="2" cm="1">
        <f t="array" ref="AB49">SPDAM(U51,V51,W51)</f>
        <v>120.55713630835626</v>
      </c>
      <c r="AC49" s="3" cm="1">
        <f t="array" ref="AC49">SPDAM(U51,V51,X51)</f>
        <v>52.981621875000002</v>
      </c>
      <c r="AD49" s="2">
        <f>Z49+AB49</f>
        <v>312.28446186403346</v>
      </c>
      <c r="AE49" s="3">
        <f>AA49+AC49</f>
        <v>111.2614059375</v>
      </c>
    </row>
    <row r="50" spans="1:31">
      <c r="A50" s="9" t="s">
        <v>28</v>
      </c>
      <c r="B50" s="10">
        <v>500</v>
      </c>
      <c r="C50" s="10">
        <v>7</v>
      </c>
      <c r="D50" s="10"/>
      <c r="E50" s="10">
        <v>0.9</v>
      </c>
      <c r="F50" s="10">
        <v>0.9</v>
      </c>
      <c r="G50" s="10">
        <v>0.9</v>
      </c>
      <c r="H50" s="10"/>
      <c r="I50" s="2"/>
      <c r="J50" s="3"/>
      <c r="K50" s="2"/>
      <c r="L50" s="3"/>
      <c r="R50" s="9" t="s">
        <v>28</v>
      </c>
      <c r="S50" s="10">
        <v>450</v>
      </c>
      <c r="T50" s="10">
        <v>8</v>
      </c>
      <c r="U50" s="10"/>
      <c r="V50" s="10">
        <v>1.1000000000000001</v>
      </c>
      <c r="W50" s="10">
        <v>1.1000000000000001</v>
      </c>
      <c r="X50" s="10">
        <v>1.3</v>
      </c>
      <c r="Y50" s="10"/>
      <c r="Z50" s="2"/>
      <c r="AA50" s="3"/>
      <c r="AB50" s="2"/>
      <c r="AC50" s="3" t="s">
        <v>32</v>
      </c>
    </row>
    <row r="51" spans="1:31">
      <c r="S51" s="1">
        <v>120</v>
      </c>
      <c r="T51" s="1">
        <v>20</v>
      </c>
      <c r="U51" s="1">
        <v>10</v>
      </c>
      <c r="V51" s="1">
        <v>0.95</v>
      </c>
      <c r="W51" s="1">
        <v>18</v>
      </c>
      <c r="X51" s="1">
        <f t="shared" ref="X51" si="25">MIN(S51/T51,W51)</f>
        <v>6</v>
      </c>
      <c r="Y51" s="1">
        <v>0</v>
      </c>
      <c r="Z51" s="2" cm="1">
        <f t="array" ref="Z51">SPDAM(U51,V51,W51)</f>
        <v>120.55713630835626</v>
      </c>
      <c r="AA51" s="3" cm="1">
        <f t="array" ref="AA51">SPDAM(U51,V51,X51)</f>
        <v>52.981621875000002</v>
      </c>
    </row>
    <row r="53" spans="1:31">
      <c r="A53" s="6" t="s">
        <v>33</v>
      </c>
      <c r="B53" s="4" t="s">
        <v>12</v>
      </c>
      <c r="C53" s="4" t="s">
        <v>2</v>
      </c>
      <c r="D53" s="4" t="s">
        <v>1</v>
      </c>
      <c r="E53" s="4" t="s">
        <v>3</v>
      </c>
      <c r="F53" s="4" t="s">
        <v>4</v>
      </c>
      <c r="G53" s="4" t="s">
        <v>8</v>
      </c>
      <c r="H53" s="4" t="s">
        <v>11</v>
      </c>
      <c r="I53" s="4" t="s">
        <v>9</v>
      </c>
      <c r="J53" s="4" t="s">
        <v>10</v>
      </c>
      <c r="K53" s="4" t="s">
        <v>19</v>
      </c>
      <c r="L53" s="4" t="s">
        <v>20</v>
      </c>
      <c r="M53" s="15" t="s">
        <v>9</v>
      </c>
      <c r="N53" s="14" t="s">
        <v>36</v>
      </c>
      <c r="R53" s="6" t="s">
        <v>37</v>
      </c>
      <c r="S53" s="4" t="s">
        <v>12</v>
      </c>
      <c r="T53" s="4" t="s">
        <v>2</v>
      </c>
      <c r="U53" s="4" t="s">
        <v>1</v>
      </c>
      <c r="V53" s="4" t="s">
        <v>3</v>
      </c>
      <c r="W53" s="4" t="s">
        <v>4</v>
      </c>
      <c r="X53" s="4" t="s">
        <v>8</v>
      </c>
      <c r="Y53" s="4" t="s">
        <v>11</v>
      </c>
      <c r="Z53" s="4" t="s">
        <v>9</v>
      </c>
      <c r="AA53" s="4" t="s">
        <v>10</v>
      </c>
      <c r="AB53" s="4" t="s">
        <v>19</v>
      </c>
      <c r="AC53" s="4" t="s">
        <v>20</v>
      </c>
      <c r="AD53" s="15" t="s">
        <v>9</v>
      </c>
      <c r="AE53" s="14" t="s">
        <v>36</v>
      </c>
    </row>
    <row r="54" spans="1:31">
      <c r="A54" s="5" t="s">
        <v>5</v>
      </c>
      <c r="B54" s="1">
        <v>1</v>
      </c>
      <c r="C54" s="1">
        <v>1</v>
      </c>
      <c r="D54" s="1">
        <v>198</v>
      </c>
      <c r="E54" s="1">
        <v>1</v>
      </c>
      <c r="F54" s="1">
        <v>1.2</v>
      </c>
      <c r="G54" s="1">
        <f t="shared" ref="G54:G61" si="26">MIN(B54/C54,F54)</f>
        <v>1</v>
      </c>
      <c r="H54" s="1">
        <v>0</v>
      </c>
      <c r="I54" s="2" cm="1">
        <f t="array" ref="I54">SPDAM(D54,E54,F54)</f>
        <v>237.6</v>
      </c>
      <c r="J54" s="3" cm="1">
        <f t="array" ref="J54">SPDAM(D54,E54,G54)</f>
        <v>198</v>
      </c>
      <c r="K54" s="2">
        <f t="shared" ref="K54:K62" si="27">F54*H54</f>
        <v>0</v>
      </c>
      <c r="L54" s="3">
        <f t="shared" ref="L54:L62" si="28">G54*H54</f>
        <v>0</v>
      </c>
      <c r="M54" s="13">
        <f>I54+N54</f>
        <v>237.6</v>
      </c>
      <c r="N54" s="11">
        <v>0</v>
      </c>
      <c r="R54" s="5" t="s">
        <v>5</v>
      </c>
      <c r="S54" s="1">
        <v>1</v>
      </c>
      <c r="T54" s="1">
        <v>1</v>
      </c>
      <c r="U54" s="1">
        <v>0</v>
      </c>
      <c r="V54" s="1">
        <v>1</v>
      </c>
      <c r="W54" s="1">
        <v>1</v>
      </c>
      <c r="X54" s="1">
        <f t="shared" ref="X54:X62" si="29">MIN(S54/T54,W54)</f>
        <v>1</v>
      </c>
      <c r="Y54" s="1">
        <v>0</v>
      </c>
      <c r="Z54" s="2" cm="1">
        <f t="array" ref="Z54">SPDAM(U54,V54,W54)</f>
        <v>0</v>
      </c>
      <c r="AA54" s="3" cm="1">
        <f t="array" ref="AA54">SPDAM(U54,V54,X54)</f>
        <v>0</v>
      </c>
      <c r="AB54" s="2">
        <f t="shared" ref="AB54:AB62" si="30">W54*Y54</f>
        <v>0</v>
      </c>
      <c r="AC54" s="3">
        <f t="shared" ref="AC54:AC62" si="31">X54*Y54</f>
        <v>0</v>
      </c>
      <c r="AD54" s="13">
        <f>Z54+AE54</f>
        <v>0</v>
      </c>
      <c r="AE54" s="11">
        <v>0</v>
      </c>
    </row>
    <row r="55" spans="1:31">
      <c r="A55" s="12" t="s">
        <v>6</v>
      </c>
      <c r="B55" s="1">
        <v>1</v>
      </c>
      <c r="C55" s="1">
        <v>1</v>
      </c>
      <c r="D55" s="1">
        <v>200</v>
      </c>
      <c r="E55" s="1">
        <v>0.9</v>
      </c>
      <c r="F55" s="1">
        <v>6</v>
      </c>
      <c r="G55" s="1">
        <f t="shared" si="26"/>
        <v>1</v>
      </c>
      <c r="H55" s="1">
        <v>0</v>
      </c>
      <c r="I55" s="2" cm="1">
        <f t="array" ref="I55">SPDAM(D55,E55,F55)</f>
        <v>937.11800000000017</v>
      </c>
      <c r="J55" s="3" cm="1">
        <f t="array" ref="J55">SPDAM(D55,E55,G55)</f>
        <v>200</v>
      </c>
      <c r="K55" s="2">
        <f t="shared" si="27"/>
        <v>0</v>
      </c>
      <c r="L55" s="3">
        <f t="shared" si="28"/>
        <v>0</v>
      </c>
      <c r="M55" s="13">
        <f t="shared" ref="M55:M62" si="32">I55+N55</f>
        <v>937.11800000000017</v>
      </c>
      <c r="N55" s="11">
        <v>0</v>
      </c>
      <c r="R55" s="12" t="s">
        <v>6</v>
      </c>
      <c r="S55" s="1">
        <v>1</v>
      </c>
      <c r="T55" s="1">
        <v>1</v>
      </c>
      <c r="U55" s="1">
        <v>0</v>
      </c>
      <c r="V55" s="1">
        <v>1</v>
      </c>
      <c r="W55" s="1">
        <v>1</v>
      </c>
      <c r="X55" s="1">
        <f t="shared" si="29"/>
        <v>1</v>
      </c>
      <c r="Y55" s="1">
        <v>0</v>
      </c>
      <c r="Z55" s="2" cm="1">
        <f t="array" ref="Z55">SPDAM(U55,V55,W55)</f>
        <v>0</v>
      </c>
      <c r="AA55" s="3" cm="1">
        <f t="array" ref="AA55">SPDAM(U55,V55,X55)</f>
        <v>0</v>
      </c>
      <c r="AB55" s="2">
        <f t="shared" si="30"/>
        <v>0</v>
      </c>
      <c r="AC55" s="3">
        <f t="shared" si="31"/>
        <v>0</v>
      </c>
      <c r="AD55" s="13">
        <f t="shared" ref="AD55:AD62" si="33">Z55+AE55</f>
        <v>0</v>
      </c>
      <c r="AE55" s="11">
        <v>0</v>
      </c>
    </row>
    <row r="56" spans="1:31">
      <c r="A56" s="5" t="s">
        <v>7</v>
      </c>
      <c r="B56" s="1">
        <v>60</v>
      </c>
      <c r="C56" s="1">
        <v>25</v>
      </c>
      <c r="D56" s="1">
        <v>25</v>
      </c>
      <c r="E56" s="1">
        <v>0.9</v>
      </c>
      <c r="F56" s="1">
        <v>12</v>
      </c>
      <c r="G56" s="1">
        <f t="shared" si="26"/>
        <v>2.4</v>
      </c>
      <c r="H56" s="1">
        <v>0</v>
      </c>
      <c r="I56" s="2" cm="1">
        <f t="array" ref="I56">SPDAM(D56,E56,F56)</f>
        <v>179.39261587975</v>
      </c>
      <c r="J56" s="3" cm="1">
        <f t="array" ref="J56">SPDAM(D56,E56,G56)</f>
        <v>55.856868108377995</v>
      </c>
      <c r="K56" s="2">
        <f t="shared" si="27"/>
        <v>0</v>
      </c>
      <c r="L56" s="3">
        <f t="shared" si="28"/>
        <v>0</v>
      </c>
      <c r="M56" s="13">
        <f t="shared" si="32"/>
        <v>479.39261587975</v>
      </c>
      <c r="N56" s="11">
        <v>300</v>
      </c>
      <c r="R56" s="5" t="s">
        <v>7</v>
      </c>
      <c r="S56" s="1">
        <v>1</v>
      </c>
      <c r="T56" s="1">
        <v>1</v>
      </c>
      <c r="U56" s="1">
        <v>0</v>
      </c>
      <c r="V56" s="1">
        <v>1</v>
      </c>
      <c r="W56" s="1">
        <v>1</v>
      </c>
      <c r="X56" s="1">
        <f t="shared" si="29"/>
        <v>1</v>
      </c>
      <c r="Y56" s="1">
        <v>0</v>
      </c>
      <c r="Z56" s="2" cm="1">
        <f t="array" ref="Z56">SPDAM(U56,V56,W56)</f>
        <v>0</v>
      </c>
      <c r="AA56" s="3" cm="1">
        <f t="array" ref="AA56">SPDAM(U56,V56,X56)</f>
        <v>0</v>
      </c>
      <c r="AB56" s="2">
        <f t="shared" si="30"/>
        <v>0</v>
      </c>
      <c r="AC56" s="3">
        <f t="shared" si="31"/>
        <v>0</v>
      </c>
      <c r="AD56" s="13">
        <f t="shared" si="33"/>
        <v>300</v>
      </c>
      <c r="AE56" s="11">
        <v>300</v>
      </c>
    </row>
    <row r="57" spans="1:31">
      <c r="A57" s="12" t="s">
        <v>13</v>
      </c>
      <c r="B57" s="1">
        <v>1.5</v>
      </c>
      <c r="C57" s="1">
        <v>1</v>
      </c>
      <c r="D57" s="1">
        <v>600</v>
      </c>
      <c r="E57" s="1">
        <v>1</v>
      </c>
      <c r="F57" s="1">
        <v>1</v>
      </c>
      <c r="G57" s="1">
        <f t="shared" si="26"/>
        <v>1</v>
      </c>
      <c r="H57" s="1">
        <v>0</v>
      </c>
      <c r="I57" s="2" cm="1">
        <f t="array" ref="I57">SPDAM(D57,E57,F57)</f>
        <v>600</v>
      </c>
      <c r="J57" s="3" cm="1">
        <f t="array" ref="J57">SPDAM(D57,E57,G57)</f>
        <v>600</v>
      </c>
      <c r="K57" s="2">
        <f t="shared" si="27"/>
        <v>0</v>
      </c>
      <c r="L57" s="3">
        <f t="shared" si="28"/>
        <v>0</v>
      </c>
      <c r="M57" s="13">
        <f t="shared" si="32"/>
        <v>1100</v>
      </c>
      <c r="N57" s="11">
        <v>500</v>
      </c>
      <c r="R57" s="5" t="s">
        <v>13</v>
      </c>
      <c r="S57" s="1">
        <v>1</v>
      </c>
      <c r="T57" s="1">
        <v>1</v>
      </c>
      <c r="U57" s="1">
        <v>0</v>
      </c>
      <c r="V57" s="1">
        <v>1</v>
      </c>
      <c r="W57" s="1">
        <v>1</v>
      </c>
      <c r="X57" s="1">
        <f t="shared" si="29"/>
        <v>1</v>
      </c>
      <c r="Y57" s="1">
        <v>0</v>
      </c>
      <c r="Z57" s="2" cm="1">
        <f t="array" ref="Z57">SPDAM(U57,V57,W57)</f>
        <v>0</v>
      </c>
      <c r="AA57" s="3" cm="1">
        <f t="array" ref="AA57">SPDAM(U57,V57,X57)</f>
        <v>0</v>
      </c>
      <c r="AB57" s="2">
        <f t="shared" si="30"/>
        <v>0</v>
      </c>
      <c r="AC57" s="3">
        <f t="shared" si="31"/>
        <v>0</v>
      </c>
      <c r="AD57" s="13">
        <f t="shared" si="33"/>
        <v>500</v>
      </c>
      <c r="AE57" s="11">
        <v>500</v>
      </c>
    </row>
    <row r="58" spans="1:31">
      <c r="A58" s="5" t="s">
        <v>14</v>
      </c>
      <c r="B58" s="1">
        <v>5</v>
      </c>
      <c r="C58" s="1">
        <v>1</v>
      </c>
      <c r="D58" s="1">
        <v>8</v>
      </c>
      <c r="E58" s="1">
        <v>1</v>
      </c>
      <c r="F58" s="1">
        <f>5*6</f>
        <v>30</v>
      </c>
      <c r="G58" s="1">
        <f t="shared" si="26"/>
        <v>5</v>
      </c>
      <c r="H58" s="1">
        <v>0.05</v>
      </c>
      <c r="I58" s="2" cm="1">
        <f t="array" ref="I58">SPDAM(D58,E58,F58)</f>
        <v>240</v>
      </c>
      <c r="J58" s="3" cm="1">
        <f t="array" ref="J58">SPDAM(D58,E58,G58)</f>
        <v>40</v>
      </c>
      <c r="K58" s="2">
        <f t="shared" si="27"/>
        <v>1.5</v>
      </c>
      <c r="L58" s="3">
        <f t="shared" si="28"/>
        <v>0.25</v>
      </c>
      <c r="M58" s="13">
        <f t="shared" si="32"/>
        <v>240</v>
      </c>
      <c r="N58" s="11">
        <v>0</v>
      </c>
      <c r="O58" t="s">
        <v>34</v>
      </c>
      <c r="R58" s="5" t="s">
        <v>14</v>
      </c>
      <c r="S58" s="1">
        <v>1</v>
      </c>
      <c r="T58" s="1">
        <v>1</v>
      </c>
      <c r="U58" s="1">
        <v>0</v>
      </c>
      <c r="V58" s="1">
        <v>1</v>
      </c>
      <c r="W58" s="1">
        <v>1</v>
      </c>
      <c r="X58" s="1">
        <f t="shared" si="29"/>
        <v>1</v>
      </c>
      <c r="Y58" s="1">
        <v>0</v>
      </c>
      <c r="Z58" s="2" cm="1">
        <f t="array" ref="Z58">SPDAM(U58,V58,W58)</f>
        <v>0</v>
      </c>
      <c r="AA58" s="3" cm="1">
        <f t="array" ref="AA58">SPDAM(U58,V58,X58)</f>
        <v>0</v>
      </c>
      <c r="AB58" s="2">
        <f t="shared" si="30"/>
        <v>0</v>
      </c>
      <c r="AC58" s="3">
        <f t="shared" si="31"/>
        <v>0</v>
      </c>
      <c r="AD58" s="13">
        <f t="shared" si="33"/>
        <v>0</v>
      </c>
      <c r="AE58" s="11">
        <v>0</v>
      </c>
    </row>
    <row r="59" spans="1:31">
      <c r="A59" s="12" t="s">
        <v>15</v>
      </c>
      <c r="B59" s="1">
        <v>1</v>
      </c>
      <c r="C59" s="1">
        <v>1</v>
      </c>
      <c r="D59" s="1">
        <v>250</v>
      </c>
      <c r="E59" s="1">
        <v>0.9</v>
      </c>
      <c r="F59" s="1">
        <v>6.5</v>
      </c>
      <c r="G59" s="1">
        <f t="shared" si="26"/>
        <v>1</v>
      </c>
      <c r="H59" s="1">
        <v>0.3</v>
      </c>
      <c r="I59" s="2" cm="1">
        <f t="array" ref="I59">SPDAM(D59,E59,F59)</f>
        <v>1239.5769985018424</v>
      </c>
      <c r="J59" s="3" cm="1">
        <f t="array" ref="J59">SPDAM(D59,E59,G59)</f>
        <v>250</v>
      </c>
      <c r="K59" s="2">
        <f t="shared" si="27"/>
        <v>1.95</v>
      </c>
      <c r="L59" s="3">
        <f t="shared" si="28"/>
        <v>0.3</v>
      </c>
      <c r="M59" s="13">
        <f t="shared" si="32"/>
        <v>1239.5769985018424</v>
      </c>
      <c r="N59" s="11">
        <v>0</v>
      </c>
      <c r="R59" s="12" t="s">
        <v>15</v>
      </c>
      <c r="S59" s="1">
        <v>1</v>
      </c>
      <c r="T59" s="1">
        <v>1</v>
      </c>
      <c r="U59" s="1">
        <v>0</v>
      </c>
      <c r="V59" s="1">
        <v>1</v>
      </c>
      <c r="W59" s="1">
        <v>1</v>
      </c>
      <c r="X59" s="1">
        <f t="shared" si="29"/>
        <v>1</v>
      </c>
      <c r="Y59" s="1">
        <v>0</v>
      </c>
      <c r="Z59" s="2" cm="1">
        <f t="array" ref="Z59">SPDAM(U59,V59,W59)</f>
        <v>0</v>
      </c>
      <c r="AA59" s="3" cm="1">
        <f t="array" ref="AA59">SPDAM(U59,V59,X59)</f>
        <v>0</v>
      </c>
      <c r="AB59" s="2">
        <f t="shared" si="30"/>
        <v>0</v>
      </c>
      <c r="AC59" s="3">
        <f t="shared" si="31"/>
        <v>0</v>
      </c>
      <c r="AD59" s="13">
        <f t="shared" si="33"/>
        <v>0</v>
      </c>
      <c r="AE59" s="11">
        <v>0</v>
      </c>
    </row>
    <row r="60" spans="1:31">
      <c r="A60" s="5" t="s">
        <v>16</v>
      </c>
      <c r="B60" s="1">
        <v>1</v>
      </c>
      <c r="C60" s="1">
        <v>1</v>
      </c>
      <c r="D60" s="1">
        <v>100</v>
      </c>
      <c r="E60" s="1">
        <v>0.95</v>
      </c>
      <c r="F60" s="1">
        <v>10</v>
      </c>
      <c r="G60" s="1">
        <f t="shared" si="26"/>
        <v>1</v>
      </c>
      <c r="H60" s="1">
        <v>0.4</v>
      </c>
      <c r="I60" s="2" cm="1">
        <f t="array" ref="I60">SPDAM(D60,E60,F60)</f>
        <v>802.52612152324195</v>
      </c>
      <c r="J60" s="3" cm="1">
        <f t="array" ref="J60">SPDAM(D60,E60,G60)</f>
        <v>100</v>
      </c>
      <c r="K60" s="2">
        <f t="shared" si="27"/>
        <v>4</v>
      </c>
      <c r="L60" s="3">
        <f t="shared" si="28"/>
        <v>0.4</v>
      </c>
      <c r="M60" s="13">
        <f t="shared" si="32"/>
        <v>1502.526121523242</v>
      </c>
      <c r="N60" s="11">
        <v>700</v>
      </c>
      <c r="R60" s="5" t="s">
        <v>16</v>
      </c>
      <c r="S60" s="1">
        <v>1</v>
      </c>
      <c r="T60" s="1">
        <v>1</v>
      </c>
      <c r="U60" s="1">
        <v>0</v>
      </c>
      <c r="V60" s="1">
        <v>1</v>
      </c>
      <c r="W60" s="1">
        <v>1</v>
      </c>
      <c r="X60" s="1">
        <f t="shared" si="29"/>
        <v>1</v>
      </c>
      <c r="Y60" s="1">
        <v>0</v>
      </c>
      <c r="Z60" s="2" cm="1">
        <f t="array" ref="Z60">SPDAM(U60,V60,W60)</f>
        <v>0</v>
      </c>
      <c r="AA60" s="3" cm="1">
        <f t="array" ref="AA60">SPDAM(U60,V60,X60)</f>
        <v>0</v>
      </c>
      <c r="AB60" s="2">
        <f t="shared" si="30"/>
        <v>0</v>
      </c>
      <c r="AC60" s="3">
        <f t="shared" si="31"/>
        <v>0</v>
      </c>
      <c r="AD60" s="13">
        <f t="shared" si="33"/>
        <v>750</v>
      </c>
      <c r="AE60" s="11">
        <v>750</v>
      </c>
    </row>
    <row r="61" spans="1:31">
      <c r="A61" s="5" t="s">
        <v>17</v>
      </c>
      <c r="B61" s="1">
        <v>1</v>
      </c>
      <c r="C61" s="1">
        <v>1</v>
      </c>
      <c r="D61" s="1">
        <v>270</v>
      </c>
      <c r="E61" s="1">
        <v>0.9</v>
      </c>
      <c r="F61" s="1">
        <v>7</v>
      </c>
      <c r="G61" s="1">
        <f t="shared" si="26"/>
        <v>1</v>
      </c>
      <c r="H61" s="1">
        <v>0.5</v>
      </c>
      <c r="I61" s="2" cm="1">
        <f t="array" ref="I61">SPDAM(D61,E61,F61)</f>
        <v>1408.5983699999999</v>
      </c>
      <c r="J61" s="3" cm="1">
        <f t="array" ref="J61">SPDAM(D61,E61,G61)</f>
        <v>270</v>
      </c>
      <c r="K61" s="2">
        <f t="shared" si="27"/>
        <v>3.5</v>
      </c>
      <c r="L61" s="3">
        <f t="shared" si="28"/>
        <v>0.5</v>
      </c>
      <c r="M61" s="13">
        <f t="shared" si="32"/>
        <v>2408.5983699999997</v>
      </c>
      <c r="N61" s="11">
        <v>1000</v>
      </c>
      <c r="R61" s="5" t="s">
        <v>17</v>
      </c>
      <c r="S61" s="1">
        <v>1</v>
      </c>
      <c r="T61" s="1">
        <v>1</v>
      </c>
      <c r="U61" s="1">
        <v>0</v>
      </c>
      <c r="V61" s="1">
        <v>1</v>
      </c>
      <c r="W61" s="1">
        <v>1</v>
      </c>
      <c r="X61" s="1">
        <f t="shared" si="29"/>
        <v>1</v>
      </c>
      <c r="Y61" s="1">
        <v>0</v>
      </c>
      <c r="Z61" s="2" cm="1">
        <f t="array" ref="Z61">SPDAM(U61,V61,W61)</f>
        <v>0</v>
      </c>
      <c r="AA61" s="3" cm="1">
        <f t="array" ref="AA61">SPDAM(U61,V61,X61)</f>
        <v>0</v>
      </c>
      <c r="AB61" s="2">
        <f t="shared" si="30"/>
        <v>0</v>
      </c>
      <c r="AC61" s="3">
        <f t="shared" si="31"/>
        <v>0</v>
      </c>
      <c r="AD61" s="13">
        <f t="shared" si="33"/>
        <v>1000</v>
      </c>
      <c r="AE61" s="11">
        <v>1000</v>
      </c>
    </row>
    <row r="62" spans="1:31">
      <c r="A62" s="5" t="s">
        <v>35</v>
      </c>
      <c r="B62" s="1">
        <v>1</v>
      </c>
      <c r="C62" s="1">
        <v>1</v>
      </c>
      <c r="D62" s="1">
        <v>300</v>
      </c>
      <c r="E62" s="1">
        <v>0.9</v>
      </c>
      <c r="F62" s="1">
        <v>7</v>
      </c>
      <c r="G62" s="1">
        <f t="shared" ref="G62" si="34">MIN(B62/C62,F62)</f>
        <v>1</v>
      </c>
      <c r="H62" s="1">
        <v>0.5</v>
      </c>
      <c r="I62" s="2" cm="1">
        <f t="array" ref="I62">SPDAM(D62,E62,F62)</f>
        <v>1565.1093000000001</v>
      </c>
      <c r="J62" s="3" cm="1">
        <f t="array" ref="J62">SPDAM(D62,E62,H62)</f>
        <v>153.95010584845886</v>
      </c>
      <c r="K62" s="2">
        <f t="shared" si="27"/>
        <v>3.5</v>
      </c>
      <c r="L62" s="3">
        <f t="shared" si="28"/>
        <v>0.5</v>
      </c>
      <c r="M62" s="13">
        <f t="shared" si="32"/>
        <v>2565.1093000000001</v>
      </c>
      <c r="N62" s="11">
        <v>1000</v>
      </c>
      <c r="R62" s="5" t="s">
        <v>18</v>
      </c>
      <c r="S62" s="1">
        <v>1</v>
      </c>
      <c r="T62" s="1">
        <v>1</v>
      </c>
      <c r="U62" s="1">
        <v>0</v>
      </c>
      <c r="V62" s="1">
        <v>1</v>
      </c>
      <c r="W62" s="1">
        <v>1</v>
      </c>
      <c r="X62" s="1">
        <f t="shared" si="29"/>
        <v>1</v>
      </c>
      <c r="Y62" s="1">
        <v>0</v>
      </c>
      <c r="Z62" s="2" cm="1">
        <f t="array" ref="Z62">SPDAM(U62,V62,W62)</f>
        <v>0</v>
      </c>
      <c r="AA62" s="3" cm="1">
        <f t="array" ref="AA62">SPDAM(U62,V62,Y62)</f>
        <v>0</v>
      </c>
      <c r="AB62" s="2">
        <f t="shared" si="30"/>
        <v>0</v>
      </c>
      <c r="AC62" s="3">
        <f t="shared" si="31"/>
        <v>0</v>
      </c>
      <c r="AD62" s="13">
        <f t="shared" si="33"/>
        <v>1000</v>
      </c>
      <c r="AE62" s="11">
        <v>1000</v>
      </c>
    </row>
    <row r="63" spans="1:31">
      <c r="A63" s="9" t="s">
        <v>28</v>
      </c>
      <c r="B63" s="10">
        <v>8000</v>
      </c>
      <c r="C63" s="10">
        <v>5</v>
      </c>
      <c r="D63" s="10"/>
      <c r="E63" s="10">
        <v>1</v>
      </c>
      <c r="F63" s="10">
        <v>1.3</v>
      </c>
      <c r="G63" s="10">
        <v>1</v>
      </c>
      <c r="H63" s="10"/>
      <c r="I63" s="2"/>
      <c r="J63" s="3"/>
      <c r="K63" s="2"/>
      <c r="L63" s="3"/>
      <c r="M63" s="13"/>
      <c r="N63" s="11"/>
      <c r="R63" s="9" t="s">
        <v>28</v>
      </c>
      <c r="S63" s="10">
        <v>6500</v>
      </c>
      <c r="T63" s="10">
        <v>5</v>
      </c>
      <c r="U63" s="10"/>
      <c r="V63" s="10">
        <v>1</v>
      </c>
      <c r="W63" s="10">
        <v>1</v>
      </c>
      <c r="X63" s="10">
        <v>1</v>
      </c>
      <c r="Y63" s="10"/>
      <c r="Z63" s="2"/>
      <c r="AA63" s="3"/>
      <c r="AB63" s="2"/>
      <c r="AC63" s="3"/>
      <c r="AD63" s="13"/>
      <c r="AE63" s="11"/>
    </row>
    <row r="66" spans="1:16">
      <c r="A66" s="6" t="s">
        <v>38</v>
      </c>
      <c r="B66" s="4" t="s">
        <v>12</v>
      </c>
      <c r="C66" s="4" t="s">
        <v>2</v>
      </c>
      <c r="D66" s="4" t="s">
        <v>1</v>
      </c>
      <c r="E66" s="4" t="s">
        <v>3</v>
      </c>
      <c r="F66" s="4" t="s">
        <v>4</v>
      </c>
      <c r="G66" s="4" t="s">
        <v>8</v>
      </c>
      <c r="H66" s="4" t="s">
        <v>11</v>
      </c>
      <c r="I66" s="4" t="s">
        <v>9</v>
      </c>
      <c r="J66" s="4" t="s">
        <v>10</v>
      </c>
      <c r="K66" s="4" t="s">
        <v>19</v>
      </c>
      <c r="L66" s="4" t="s">
        <v>20</v>
      </c>
    </row>
    <row r="67" spans="1:16">
      <c r="A67" s="5" t="s">
        <v>5</v>
      </c>
      <c r="B67" s="1">
        <v>1</v>
      </c>
      <c r="C67" s="1">
        <v>1</v>
      </c>
      <c r="D67" s="1">
        <v>80</v>
      </c>
      <c r="E67" s="1">
        <v>0.8</v>
      </c>
      <c r="F67" s="1">
        <v>2.5</v>
      </c>
      <c r="G67" s="1">
        <f t="shared" ref="G67:G74" si="35">MIN(B67/C67,F67)</f>
        <v>1</v>
      </c>
      <c r="H67" s="1">
        <f>10*4</f>
        <v>40</v>
      </c>
      <c r="I67" s="2" cm="1">
        <f t="array" ref="I67">SPDAM(D67,E67,F67)</f>
        <v>171.02663910402157</v>
      </c>
      <c r="J67" s="3" cm="1">
        <f t="array" ref="J67">SPDAM(D67,E67,G67)</f>
        <v>80</v>
      </c>
      <c r="K67" s="2">
        <f t="shared" ref="K67:K75" si="36">F67*H67</f>
        <v>100</v>
      </c>
      <c r="L67" s="3">
        <f t="shared" ref="L67:L75" si="37">G67*H67</f>
        <v>40</v>
      </c>
      <c r="M67" s="2">
        <f>I67+K67</f>
        <v>271.02663910402157</v>
      </c>
      <c r="N67" s="3">
        <f>J67+L67</f>
        <v>120</v>
      </c>
      <c r="O67" s="13">
        <f>M67+P67</f>
        <v>271.02663910402157</v>
      </c>
      <c r="P67" s="11">
        <v>0</v>
      </c>
    </row>
    <row r="68" spans="1:16">
      <c r="A68" s="5" t="s">
        <v>6</v>
      </c>
      <c r="B68" s="1">
        <v>1</v>
      </c>
      <c r="C68" s="1">
        <v>1</v>
      </c>
      <c r="D68" s="1">
        <v>200</v>
      </c>
      <c r="E68" s="1">
        <v>0.9</v>
      </c>
      <c r="F68" s="1">
        <v>6</v>
      </c>
      <c r="G68" s="1">
        <f t="shared" si="35"/>
        <v>1</v>
      </c>
      <c r="H68" s="1">
        <v>0.3</v>
      </c>
      <c r="I68" s="2" cm="1">
        <f t="array" ref="I68">SPDAM(D68,E68,F68)</f>
        <v>937.11800000000017</v>
      </c>
      <c r="J68" s="3" cm="1">
        <f t="array" ref="J68">SPDAM(D68,E68,G68)</f>
        <v>200</v>
      </c>
      <c r="K68" s="2">
        <f t="shared" si="36"/>
        <v>1.7999999999999998</v>
      </c>
      <c r="L68" s="3">
        <f t="shared" si="37"/>
        <v>0.3</v>
      </c>
      <c r="M68" s="2">
        <f>I68</f>
        <v>937.11800000000017</v>
      </c>
      <c r="N68" s="3">
        <f>J68+L68</f>
        <v>200.3</v>
      </c>
      <c r="O68" s="13">
        <f t="shared" ref="O68:O75" si="38">M68+P68</f>
        <v>937.11800000000017</v>
      </c>
      <c r="P68" s="11">
        <v>0</v>
      </c>
    </row>
    <row r="69" spans="1:16">
      <c r="A69" s="5" t="s">
        <v>7</v>
      </c>
      <c r="B69" s="1">
        <v>1</v>
      </c>
      <c r="C69" s="1">
        <v>1</v>
      </c>
      <c r="D69" s="1">
        <v>60</v>
      </c>
      <c r="E69" s="1">
        <v>0.9</v>
      </c>
      <c r="F69" s="1">
        <v>8</v>
      </c>
      <c r="G69" s="1">
        <f t="shared" si="35"/>
        <v>1</v>
      </c>
      <c r="H69" s="1">
        <v>25</v>
      </c>
      <c r="I69" s="2" cm="1">
        <f t="array" ref="I69">SPDAM(D69,E69,F69)</f>
        <v>341.719674</v>
      </c>
      <c r="J69" s="3" cm="1">
        <f t="array" ref="J69">SPDAM(D69,E69,G69)</f>
        <v>60</v>
      </c>
      <c r="K69" s="2">
        <f t="shared" si="36"/>
        <v>200</v>
      </c>
      <c r="L69" s="3">
        <f t="shared" si="37"/>
        <v>25</v>
      </c>
      <c r="M69" s="2">
        <f>I69+K69</f>
        <v>541.71967399999994</v>
      </c>
      <c r="N69" s="3">
        <f>J69+L69</f>
        <v>85</v>
      </c>
      <c r="O69" s="13">
        <f t="shared" si="38"/>
        <v>891.71967399999994</v>
      </c>
      <c r="P69" s="11">
        <v>350</v>
      </c>
    </row>
    <row r="70" spans="1:16">
      <c r="A70" s="5" t="s">
        <v>13</v>
      </c>
      <c r="B70" s="1">
        <v>1</v>
      </c>
      <c r="C70" s="1">
        <v>1</v>
      </c>
      <c r="D70" s="1">
        <v>120</v>
      </c>
      <c r="E70" s="1">
        <v>1</v>
      </c>
      <c r="F70" s="1">
        <v>6.5</v>
      </c>
      <c r="G70" s="1">
        <f t="shared" si="35"/>
        <v>1</v>
      </c>
      <c r="H70" s="1">
        <v>60</v>
      </c>
      <c r="I70" s="2" cm="1">
        <f t="array" ref="I70">SPDAM(D70,E70,F70)</f>
        <v>780</v>
      </c>
      <c r="J70" s="3" cm="1">
        <f t="array" ref="J70">SPDAM(D70,E70,G70)</f>
        <v>120</v>
      </c>
      <c r="K70" s="2">
        <f t="shared" si="36"/>
        <v>390</v>
      </c>
      <c r="L70" s="3">
        <f t="shared" si="37"/>
        <v>60</v>
      </c>
      <c r="M70" s="2">
        <f>I70+K70</f>
        <v>1170</v>
      </c>
      <c r="N70" s="3">
        <f>J70+L70</f>
        <v>180</v>
      </c>
      <c r="O70" s="13">
        <f t="shared" si="38"/>
        <v>1670</v>
      </c>
      <c r="P70" s="11">
        <v>500</v>
      </c>
    </row>
    <row r="71" spans="1:16">
      <c r="A71" s="5" t="s">
        <v>14</v>
      </c>
      <c r="B71" s="1">
        <v>6</v>
      </c>
      <c r="C71" s="1">
        <v>1</v>
      </c>
      <c r="D71" s="1">
        <v>30</v>
      </c>
      <c r="E71" s="1">
        <v>1</v>
      </c>
      <c r="F71" s="1">
        <v>6</v>
      </c>
      <c r="G71" s="1">
        <f t="shared" si="35"/>
        <v>6</v>
      </c>
      <c r="H71" s="1">
        <v>20</v>
      </c>
      <c r="I71" s="2" cm="1">
        <f t="array" ref="I71">SPDAM(D71,E71,F71)</f>
        <v>180</v>
      </c>
      <c r="J71" s="3" cm="1">
        <f t="array" ref="J71">SPDAM(D71,E71,G71)</f>
        <v>180</v>
      </c>
      <c r="K71" s="2">
        <f t="shared" si="36"/>
        <v>120</v>
      </c>
      <c r="L71" s="3">
        <f t="shared" si="37"/>
        <v>120</v>
      </c>
      <c r="M71" s="2">
        <f>I71+K71</f>
        <v>300</v>
      </c>
      <c r="N71" s="3">
        <f>J71+L71</f>
        <v>300</v>
      </c>
      <c r="O71" s="13">
        <f t="shared" si="38"/>
        <v>300</v>
      </c>
      <c r="P71" s="11">
        <v>0</v>
      </c>
    </row>
    <row r="72" spans="1:16">
      <c r="A72" s="12" t="s">
        <v>15</v>
      </c>
      <c r="B72" s="1">
        <v>1</v>
      </c>
      <c r="C72" s="1">
        <v>1</v>
      </c>
      <c r="D72" s="1">
        <v>1</v>
      </c>
      <c r="E72" s="1">
        <v>1</v>
      </c>
      <c r="F72" s="1">
        <v>6</v>
      </c>
      <c r="G72" s="1">
        <f t="shared" si="35"/>
        <v>1</v>
      </c>
      <c r="H72" s="1">
        <v>165</v>
      </c>
      <c r="I72" s="2" cm="1">
        <f t="array" ref="I72">SPDAM(D72,E72,F72)</f>
        <v>6</v>
      </c>
      <c r="J72" s="3" cm="1">
        <f t="array" ref="J72">SPDAM(D72,E72,G72)</f>
        <v>1</v>
      </c>
      <c r="K72" s="2">
        <f t="shared" si="36"/>
        <v>990</v>
      </c>
      <c r="L72" s="3">
        <f t="shared" si="37"/>
        <v>165</v>
      </c>
      <c r="M72" s="2">
        <f t="shared" ref="M72:M74" si="39">I72+K72</f>
        <v>996</v>
      </c>
      <c r="N72" s="3">
        <f t="shared" ref="N72:N74" si="40">J72+L72</f>
        <v>166</v>
      </c>
      <c r="O72" s="13">
        <f t="shared" si="38"/>
        <v>996</v>
      </c>
      <c r="P72" s="11">
        <v>0</v>
      </c>
    </row>
    <row r="73" spans="1:16">
      <c r="A73" s="12" t="s">
        <v>16</v>
      </c>
      <c r="B73" s="1">
        <v>1</v>
      </c>
      <c r="C73" s="1">
        <v>1</v>
      </c>
      <c r="D73" s="1">
        <v>200</v>
      </c>
      <c r="E73" s="1">
        <v>0.95</v>
      </c>
      <c r="F73" s="1">
        <v>5</v>
      </c>
      <c r="G73" s="1">
        <f t="shared" si="35"/>
        <v>1</v>
      </c>
      <c r="H73" s="1">
        <v>40</v>
      </c>
      <c r="I73" s="2" cm="1">
        <f t="array" ref="I73">SPDAM(D73,E73,F73)</f>
        <v>904.87625000000025</v>
      </c>
      <c r="J73" s="3" cm="1">
        <f t="array" ref="J73">SPDAM(D73,E73,G73)</f>
        <v>200</v>
      </c>
      <c r="K73" s="2">
        <f t="shared" si="36"/>
        <v>200</v>
      </c>
      <c r="L73" s="3">
        <f t="shared" si="37"/>
        <v>40</v>
      </c>
      <c r="M73" s="2">
        <f t="shared" si="39"/>
        <v>1104.8762500000003</v>
      </c>
      <c r="N73" s="3">
        <f t="shared" si="40"/>
        <v>240</v>
      </c>
      <c r="O73" s="13">
        <f t="shared" si="38"/>
        <v>1854.8762500000003</v>
      </c>
      <c r="P73" s="11">
        <v>750</v>
      </c>
    </row>
    <row r="74" spans="1:16">
      <c r="A74" s="12" t="s">
        <v>17</v>
      </c>
      <c r="B74" s="1">
        <v>1</v>
      </c>
      <c r="C74" s="1">
        <v>1</v>
      </c>
      <c r="D74" s="1">
        <v>200</v>
      </c>
      <c r="E74" s="1">
        <v>0.9</v>
      </c>
      <c r="F74" s="1">
        <v>7</v>
      </c>
      <c r="G74" s="1">
        <f t="shared" si="35"/>
        <v>1</v>
      </c>
      <c r="H74" s="1">
        <v>180</v>
      </c>
      <c r="I74" s="2" cm="1">
        <f t="array" ref="I74">SPDAM(D74,E74,F74)</f>
        <v>1043.4062000000001</v>
      </c>
      <c r="J74" s="3" cm="1">
        <f t="array" ref="J74">SPDAM(D74,E74,G74)</f>
        <v>200</v>
      </c>
      <c r="K74" s="2">
        <f t="shared" si="36"/>
        <v>1260</v>
      </c>
      <c r="L74" s="3">
        <f t="shared" si="37"/>
        <v>180</v>
      </c>
      <c r="M74" s="2">
        <f t="shared" si="39"/>
        <v>2303.4062000000004</v>
      </c>
      <c r="N74" s="3">
        <f t="shared" si="40"/>
        <v>380</v>
      </c>
      <c r="O74" s="13">
        <f t="shared" si="38"/>
        <v>3303.4062000000004</v>
      </c>
      <c r="P74" s="11">
        <v>1000</v>
      </c>
    </row>
    <row r="75" spans="1:16">
      <c r="A75" s="5" t="s">
        <v>18</v>
      </c>
      <c r="B75" s="1">
        <v>1</v>
      </c>
      <c r="C75" s="1">
        <v>1</v>
      </c>
      <c r="D75" s="1">
        <v>230</v>
      </c>
      <c r="E75" s="1">
        <v>0.9</v>
      </c>
      <c r="F75" s="1">
        <v>7</v>
      </c>
      <c r="G75" s="1">
        <f t="shared" ref="G75" si="41">MIN(B75/C75,F75)</f>
        <v>1</v>
      </c>
      <c r="H75" s="1">
        <v>200</v>
      </c>
      <c r="I75" s="2" cm="1">
        <f t="array" ref="I75">SPDAM(D75,E75,F75)</f>
        <v>1199.91713</v>
      </c>
      <c r="J75" s="3" cm="1">
        <f t="array" ref="J75">SPDAM(D75,E75,G75)</f>
        <v>230</v>
      </c>
      <c r="K75" s="2">
        <f t="shared" si="36"/>
        <v>1400</v>
      </c>
      <c r="L75" s="3">
        <f t="shared" si="37"/>
        <v>200</v>
      </c>
      <c r="M75" s="2">
        <f t="shared" ref="M75" si="42">I75+K75</f>
        <v>2599.9171299999998</v>
      </c>
      <c r="N75" s="3">
        <f t="shared" ref="N75" si="43">J75+L75</f>
        <v>430</v>
      </c>
      <c r="O75" s="13">
        <f t="shared" si="38"/>
        <v>3699.9171299999998</v>
      </c>
      <c r="P75" s="11">
        <v>1100</v>
      </c>
    </row>
    <row r="76" spans="1:16">
      <c r="A76" s="9" t="s">
        <v>28</v>
      </c>
      <c r="B76" s="10">
        <v>7300</v>
      </c>
      <c r="C76" s="10">
        <v>6</v>
      </c>
      <c r="D76" s="10"/>
      <c r="E76" s="10">
        <v>1.2</v>
      </c>
      <c r="F76" s="10">
        <v>1</v>
      </c>
      <c r="G76" s="10">
        <v>1</v>
      </c>
      <c r="H76" s="10"/>
      <c r="I76" s="2"/>
      <c r="J76" s="3"/>
      <c r="K76" s="2"/>
      <c r="L76" s="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rureron</dc:creator>
  <cp:lastModifiedBy>rureron</cp:lastModifiedBy>
  <dcterms:created xsi:type="dcterms:W3CDTF">2015-06-05T18:19:34Z</dcterms:created>
  <dcterms:modified xsi:type="dcterms:W3CDTF">2023-05-13T13:48:28Z</dcterms:modified>
</cp:coreProperties>
</file>